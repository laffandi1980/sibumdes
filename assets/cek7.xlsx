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4A0CC1F2-90DD-5C46-B1F4-AC5F7A99E042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D99" i="1" s="1"/>
  <c r="D98" i="1"/>
  <c r="E99" i="1" s="1"/>
</calcChain>
</file>

<file path=xl/sharedStrings.xml><?xml version="1.0" encoding="utf-8"?>
<sst xmlns="http://schemas.openxmlformats.org/spreadsheetml/2006/main" count="126" uniqueCount="123">
  <si>
    <t>BUMDES MAJU SEJAHTERA MANDIRI</t>
  </si>
  <si>
    <t>NERACA SALDO SETELAH DISESUAIKAN</t>
  </si>
  <si>
    <t>PERIODE 31 JANUARI 2026</t>
  </si>
  <si>
    <t>Kode Akun</t>
  </si>
  <si>
    <t>Nama Akun</t>
  </si>
  <si>
    <t>Reff</t>
  </si>
  <si>
    <t>Debit (Rp)</t>
  </si>
  <si>
    <t>Kredit (Rp)</t>
  </si>
  <si>
    <t>1-0000</t>
  </si>
  <si>
    <t>ASET</t>
  </si>
  <si>
    <t>Aset Lancar</t>
  </si>
  <si>
    <t>Kas dan Setara Kas</t>
  </si>
  <si>
    <t>Kas</t>
  </si>
  <si>
    <t>Bank</t>
  </si>
  <si>
    <t>Bank BRI</t>
  </si>
  <si>
    <t>Bank Jatim</t>
  </si>
  <si>
    <t>Bank Mandiri</t>
  </si>
  <si>
    <t>Piutang Usaha</t>
  </si>
  <si>
    <t>Penyisihan Piutang Tak Tertagih</t>
  </si>
  <si>
    <t>Persediaan</t>
  </si>
  <si>
    <t>Persediaan Barang Dagangan</t>
  </si>
  <si>
    <t>Persediaan Barang Jadi</t>
  </si>
  <si>
    <t>Persediaan Lainnya</t>
  </si>
  <si>
    <t>Aset Lancar Non-Persediaan</t>
  </si>
  <si>
    <t>Perlengkapan</t>
  </si>
  <si>
    <t>Biaya Dibayar di Muka</t>
  </si>
  <si>
    <t>Aset Lancar Lainnya</t>
  </si>
  <si>
    <t>Aset Tetap</t>
  </si>
  <si>
    <t>Tanah</t>
  </si>
  <si>
    <t>Bangunan</t>
  </si>
  <si>
    <t>Kendaraan</t>
  </si>
  <si>
    <t>Peralatan dan Mesin</t>
  </si>
  <si>
    <t>Meubelair/Inventaris</t>
  </si>
  <si>
    <t>Aset Tetap Lainnya</t>
  </si>
  <si>
    <t>Akumulasi Penyusutan Aset Tetap</t>
  </si>
  <si>
    <t>Akumulasi Penyusutan Bangunan</t>
  </si>
  <si>
    <t>Akumulasi Penyusutan Kendaraan</t>
  </si>
  <si>
    <t>Akumulasi Penyusutan Peralatan dan Mesin</t>
  </si>
  <si>
    <t>Akumulasi Penyusutan Meubelair/Inventaris</t>
  </si>
  <si>
    <t>Akumulasi Penyusutan Aset Tetap Lainnya</t>
  </si>
  <si>
    <t>Aset Lainnya</t>
  </si>
  <si>
    <t>Investasi Jangka Panjang</t>
  </si>
  <si>
    <t>Aset Tak Berwujud</t>
  </si>
  <si>
    <t>Akumulasi Amortisasi Aset Tak Berwujud</t>
  </si>
  <si>
    <t>2-0000</t>
  </si>
  <si>
    <t>KEWAJIBAN</t>
  </si>
  <si>
    <t>Utang Usaha</t>
  </si>
  <si>
    <t>Utang Gaji/Upah</t>
  </si>
  <si>
    <t>Utang Pajak</t>
  </si>
  <si>
    <t>Utang Utilitas</t>
  </si>
  <si>
    <t>Utang Jangka Pendek Lainnya</t>
  </si>
  <si>
    <t>Kewajiban Jangka Panjang</t>
  </si>
  <si>
    <t>Utang Bank Jangka Panjang</t>
  </si>
  <si>
    <t>Utang Pihak Ketiga Jangka Panjang</t>
  </si>
  <si>
    <t>Utang Jangka Panjang Lainnya</t>
  </si>
  <si>
    <t>3-0000</t>
  </si>
  <si>
    <t>EKUITAS</t>
  </si>
  <si>
    <t>Penyertaan Modal Desa</t>
  </si>
  <si>
    <t>Penyertaan Modal Masyarakat</t>
  </si>
  <si>
    <t>Penyertaan Modal Bantuan Pemerintah/BKK</t>
  </si>
  <si>
    <t>Tambahan Penyertaan Modal</t>
  </si>
  <si>
    <t>Laba Ditahan</t>
  </si>
  <si>
    <t>Laba/Rugi Tahun Berjalan</t>
  </si>
  <si>
    <t>Bagi Hasil untuk Desa</t>
  </si>
  <si>
    <t>Bagi Hasil untuk Masyarakat</t>
  </si>
  <si>
    <t>Ekuitas Lainnya</t>
  </si>
  <si>
    <t>4-0000</t>
  </si>
  <si>
    <t>PENDAPATAN USAHA</t>
  </si>
  <si>
    <t>Pendapatan Penjualan Barang Dagangan</t>
  </si>
  <si>
    <t>Pendapatan Penjualan Hasil Produksi</t>
  </si>
  <si>
    <t>Pendapatan Jasa</t>
  </si>
  <si>
    <t>Pendapatan Sewa</t>
  </si>
  <si>
    <t>Pendapatan Denda</t>
  </si>
  <si>
    <t>Pendapatan Operasional Lainnya</t>
  </si>
  <si>
    <t>Pendapatan Non-Operasional</t>
  </si>
  <si>
    <t>Pendapatan Bunga Bank</t>
  </si>
  <si>
    <t>Laba Penjualan Aset Tetap</t>
  </si>
  <si>
    <t>Pendapatan Lain-lain Non-Operasional</t>
  </si>
  <si>
    <t>5-2000</t>
  </si>
  <si>
    <t>HARGA POKOK PENJUALAN</t>
  </si>
  <si>
    <t>HPP Barang Dagangan</t>
  </si>
  <si>
    <t>HPP Barang Jadi / Hasil Produksi</t>
  </si>
  <si>
    <t>5-2100</t>
  </si>
  <si>
    <t>Beban Produksi Langsung</t>
  </si>
  <si>
    <t>5-2200</t>
  </si>
  <si>
    <t>Beban Operasional</t>
  </si>
  <si>
    <t>5-2210</t>
  </si>
  <si>
    <t>Beban Operasional Peternakan Ayam Petelur</t>
  </si>
  <si>
    <t>Beban Operasional Minimarket Desa Mart</t>
  </si>
  <si>
    <t>5-2212</t>
  </si>
  <si>
    <t>Beban Operasional Layanan Jasa Desa Prima</t>
  </si>
  <si>
    <t>5-2300</t>
  </si>
  <si>
    <t>Beban Pegawai</t>
  </si>
  <si>
    <t>5-2400</t>
  </si>
  <si>
    <t>Beban Administrasi dan Umum</t>
  </si>
  <si>
    <t>5-2500</t>
  </si>
  <si>
    <t>Beban Utilitas</t>
  </si>
  <si>
    <t>5-2600</t>
  </si>
  <si>
    <t>Beban Pemeliharaan dan Perbaikan</t>
  </si>
  <si>
    <t>5-2700</t>
  </si>
  <si>
    <t>Beban Perlengkapan</t>
  </si>
  <si>
    <t>5-2800</t>
  </si>
  <si>
    <t>Beban Sewa dan Asuransi</t>
  </si>
  <si>
    <t>5-2900</t>
  </si>
  <si>
    <t>Beban Penyusutan</t>
  </si>
  <si>
    <t>5-3000</t>
  </si>
  <si>
    <t>Beban Pajak</t>
  </si>
  <si>
    <t>5-3100</t>
  </si>
  <si>
    <t>Beban Operasional Lainnya</t>
  </si>
  <si>
    <t>5-3200</t>
  </si>
  <si>
    <t>Beban Non-Operasional</t>
  </si>
  <si>
    <t>5-3201</t>
  </si>
  <si>
    <t>Beban Bank</t>
  </si>
  <si>
    <t>5-3202</t>
  </si>
  <si>
    <t>Beban Bunga</t>
  </si>
  <si>
    <t>5-3203</t>
  </si>
  <si>
    <t>Beban Denda</t>
  </si>
  <si>
    <t>5-3204</t>
  </si>
  <si>
    <t>Rugi Penjualan Aset Tetap</t>
  </si>
  <si>
    <t>5-3205</t>
  </si>
  <si>
    <t>Beban Lain-lain Non-Operasional</t>
  </si>
  <si>
    <t>TOTAL</t>
  </si>
  <si>
    <t>CEK 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</si>
</sst>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174E3C"/>
        <bgColor rgb="FF174E3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" fontId="2" fillId="2" borderId="0" xfId="0" applyNumberFormat="1" applyFont="1" applyFill="1"/>
    <xf numFmtId="0" fontId="3" fillId="3" borderId="0" xfId="0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4" fontId="2" fillId="4" borderId="0" xfId="0" applyNumberFormat="1" applyFont="1" applyFill="1"/>
    <xf numFmtId="164" fontId="2" fillId="4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4" fontId="2" fillId="5" borderId="0" xfId="0" applyNumberFormat="1" applyFont="1" applyFill="1"/>
    <xf numFmtId="164" fontId="2" fillId="5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164" fontId="2" fillId="5" borderId="0" xfId="0" applyNumberFormat="1" applyFont="1" applyFill="1"/>
    <xf numFmtId="0" fontId="4" fillId="6" borderId="0" xfId="0" applyFont="1" applyFill="1" applyAlignment="1">
      <alignment horizontal="center" wrapText="1"/>
    </xf>
    <xf numFmtId="0" fontId="5" fillId="4" borderId="0" xfId="0" applyFont="1" applyFill="1"/>
    <xf numFmtId="164" fontId="4" fillId="6" borderId="0" xfId="0" applyNumberFormat="1" applyFont="1" applyFill="1" applyAlignment="1">
      <alignment horizontal="right" wrapText="1"/>
    </xf>
    <xf numFmtId="0" fontId="5" fillId="5" borderId="0" xfId="0" applyFont="1" applyFill="1"/>
    <xf numFmtId="164" fontId="4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E99"/>
  <sheetViews>
    <sheetView tabSelected="1" workbookViewId="0">
      <selection sqref="A1:E99"/>
    </sheetView>
  </sheetViews>
  <sheetFormatPr baseColWidth="10" defaultRowHeight="16" x14ac:dyDescent="0.2"/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1" t="s">
        <v>1</v>
      </c>
      <c r="B2" s="2"/>
      <c r="C2" s="2"/>
      <c r="D2" s="2"/>
      <c r="E2" s="2"/>
    </row>
    <row r="3" spans="1:5" x14ac:dyDescent="0.2">
      <c r="A3" s="1" t="s">
        <v>2</v>
      </c>
      <c r="B3" s="2"/>
      <c r="C3" s="2"/>
      <c r="D3" s="2"/>
      <c r="E3" s="2"/>
    </row>
    <row r="4" spans="1:5" x14ac:dyDescent="0.2">
      <c r="A4" s="3"/>
      <c r="B4" s="4"/>
      <c r="C4" s="5"/>
      <c r="D4" s="5"/>
      <c r="E4" s="5"/>
    </row>
    <row r="5" spans="1:5" x14ac:dyDescent="0.2">
      <c r="A5" s="6" t="s">
        <v>3</v>
      </c>
      <c r="B5" s="6" t="s">
        <v>4</v>
      </c>
      <c r="C5" s="7" t="s">
        <v>5</v>
      </c>
      <c r="D5" s="7" t="s">
        <v>6</v>
      </c>
      <c r="E5" s="6" t="s">
        <v>7</v>
      </c>
    </row>
    <row r="6" spans="1:5" x14ac:dyDescent="0.2">
      <c r="A6" s="8" t="s">
        <v>8</v>
      </c>
      <c r="B6" s="9" t="s">
        <v>9</v>
      </c>
      <c r="C6" s="10"/>
      <c r="D6" s="11">
        <v>0</v>
      </c>
      <c r="E6" s="11">
        <v>0</v>
      </c>
    </row>
    <row r="7" spans="1:5" x14ac:dyDescent="0.2">
      <c r="A7" s="12">
        <v>-328716</v>
      </c>
      <c r="B7" s="13" t="s">
        <v>10</v>
      </c>
      <c r="C7" s="14"/>
      <c r="D7" s="15">
        <v>0</v>
      </c>
      <c r="E7" s="15">
        <v>0</v>
      </c>
    </row>
    <row r="8" spans="1:5" ht="29" x14ac:dyDescent="0.2">
      <c r="A8" s="8">
        <v>-292192</v>
      </c>
      <c r="B8" s="9" t="s">
        <v>11</v>
      </c>
      <c r="C8" s="10"/>
      <c r="D8" s="11">
        <v>0</v>
      </c>
      <c r="E8" s="11">
        <v>0</v>
      </c>
    </row>
    <row r="9" spans="1:5" x14ac:dyDescent="0.2">
      <c r="A9" s="12">
        <v>-288540</v>
      </c>
      <c r="B9" s="13" t="s">
        <v>12</v>
      </c>
      <c r="C9" s="14"/>
      <c r="D9" s="15">
        <v>35275000</v>
      </c>
      <c r="E9" s="15">
        <v>0</v>
      </c>
    </row>
    <row r="10" spans="1:5" x14ac:dyDescent="0.2">
      <c r="A10" s="8">
        <v>-255668</v>
      </c>
      <c r="B10" s="9" t="s">
        <v>13</v>
      </c>
      <c r="C10" s="10"/>
      <c r="D10" s="11">
        <v>0</v>
      </c>
      <c r="E10" s="11">
        <v>0</v>
      </c>
    </row>
    <row r="11" spans="1:5" x14ac:dyDescent="0.2">
      <c r="A11" s="12">
        <v>-252015</v>
      </c>
      <c r="B11" s="13" t="s">
        <v>14</v>
      </c>
      <c r="C11" s="14"/>
      <c r="D11" s="15">
        <v>243765000</v>
      </c>
      <c r="E11" s="15">
        <v>0</v>
      </c>
    </row>
    <row r="12" spans="1:5" x14ac:dyDescent="0.2">
      <c r="A12" s="8">
        <v>-251650</v>
      </c>
      <c r="B12" s="9" t="s">
        <v>15</v>
      </c>
      <c r="C12" s="10"/>
      <c r="D12" s="11">
        <v>97000000</v>
      </c>
      <c r="E12" s="11">
        <v>0</v>
      </c>
    </row>
    <row r="13" spans="1:5" ht="29" x14ac:dyDescent="0.2">
      <c r="A13" s="12">
        <v>-251285</v>
      </c>
      <c r="B13" s="13" t="s">
        <v>16</v>
      </c>
      <c r="C13" s="14"/>
      <c r="D13" s="15">
        <v>75000000</v>
      </c>
      <c r="E13" s="15">
        <v>0</v>
      </c>
    </row>
    <row r="14" spans="1:5" ht="29" x14ac:dyDescent="0.2">
      <c r="A14" s="8">
        <v>-219143</v>
      </c>
      <c r="B14" s="9" t="s">
        <v>17</v>
      </c>
      <c r="C14" s="10"/>
      <c r="D14" s="11">
        <v>0</v>
      </c>
      <c r="E14" s="11">
        <v>0</v>
      </c>
    </row>
    <row r="15" spans="1:5" ht="29" x14ac:dyDescent="0.2">
      <c r="A15" s="12">
        <v>-215491</v>
      </c>
      <c r="B15" s="13" t="s">
        <v>17</v>
      </c>
      <c r="C15" s="14"/>
      <c r="D15" s="15">
        <v>930000</v>
      </c>
      <c r="E15" s="15">
        <v>0</v>
      </c>
    </row>
    <row r="16" spans="1:5" ht="43" x14ac:dyDescent="0.2">
      <c r="A16" s="8">
        <v>-211839</v>
      </c>
      <c r="B16" s="9" t="s">
        <v>18</v>
      </c>
      <c r="C16" s="10"/>
      <c r="D16" s="11">
        <v>0</v>
      </c>
      <c r="E16" s="11">
        <v>0</v>
      </c>
    </row>
    <row r="17" spans="1:5" x14ac:dyDescent="0.2">
      <c r="A17" s="12">
        <v>-182619</v>
      </c>
      <c r="B17" s="13" t="s">
        <v>19</v>
      </c>
      <c r="C17" s="14"/>
      <c r="D17" s="15">
        <v>0</v>
      </c>
      <c r="E17" s="15">
        <v>0</v>
      </c>
    </row>
    <row r="18" spans="1:5" ht="43" x14ac:dyDescent="0.2">
      <c r="A18" s="8">
        <v>-178967</v>
      </c>
      <c r="B18" s="9" t="s">
        <v>20</v>
      </c>
      <c r="C18" s="10"/>
      <c r="D18" s="11">
        <v>7830000</v>
      </c>
      <c r="E18" s="11">
        <v>0</v>
      </c>
    </row>
    <row r="19" spans="1:5" ht="29" x14ac:dyDescent="0.2">
      <c r="A19" s="12">
        <v>-175315</v>
      </c>
      <c r="B19" s="13" t="s">
        <v>21</v>
      </c>
      <c r="C19" s="14"/>
      <c r="D19" s="15">
        <v>2300439.2000000002</v>
      </c>
      <c r="E19" s="15">
        <v>0</v>
      </c>
    </row>
    <row r="20" spans="1:5" ht="29" x14ac:dyDescent="0.2">
      <c r="A20" s="8">
        <v>-168010</v>
      </c>
      <c r="B20" s="9" t="s">
        <v>22</v>
      </c>
      <c r="C20" s="10"/>
      <c r="D20" s="11">
        <v>0</v>
      </c>
      <c r="E20" s="11">
        <v>0</v>
      </c>
    </row>
    <row r="21" spans="1:5" ht="43" x14ac:dyDescent="0.2">
      <c r="A21" s="12">
        <v>-146095</v>
      </c>
      <c r="B21" s="13" t="s">
        <v>23</v>
      </c>
      <c r="C21" s="14"/>
      <c r="D21" s="15">
        <v>0</v>
      </c>
      <c r="E21" s="15">
        <v>0</v>
      </c>
    </row>
    <row r="22" spans="1:5" ht="29" x14ac:dyDescent="0.2">
      <c r="A22" s="8">
        <v>-142443</v>
      </c>
      <c r="B22" s="9" t="s">
        <v>24</v>
      </c>
      <c r="C22" s="10"/>
      <c r="D22" s="11">
        <v>2735000</v>
      </c>
      <c r="E22" s="11">
        <v>0</v>
      </c>
    </row>
    <row r="23" spans="1:5" ht="43" x14ac:dyDescent="0.2">
      <c r="A23" s="12">
        <v>-138791</v>
      </c>
      <c r="B23" s="13" t="s">
        <v>25</v>
      </c>
      <c r="C23" s="14"/>
      <c r="D23" s="15">
        <v>0</v>
      </c>
      <c r="E23" s="15">
        <v>500000</v>
      </c>
    </row>
    <row r="24" spans="1:5" ht="29" x14ac:dyDescent="0.2">
      <c r="A24" s="8">
        <v>-135138</v>
      </c>
      <c r="B24" s="9" t="s">
        <v>26</v>
      </c>
      <c r="C24" s="10"/>
      <c r="D24" s="11">
        <v>0</v>
      </c>
      <c r="E24" s="11">
        <v>0</v>
      </c>
    </row>
    <row r="25" spans="1:5" x14ac:dyDescent="0.2">
      <c r="A25" s="12">
        <v>36526</v>
      </c>
      <c r="B25" s="13" t="s">
        <v>27</v>
      </c>
      <c r="C25" s="14"/>
      <c r="D25" s="15">
        <v>0</v>
      </c>
      <c r="E25" s="15">
        <v>0</v>
      </c>
    </row>
    <row r="26" spans="1:5" x14ac:dyDescent="0.2">
      <c r="A26" s="8">
        <v>40179</v>
      </c>
      <c r="B26" s="9" t="s">
        <v>28</v>
      </c>
      <c r="C26" s="10"/>
      <c r="D26" s="11">
        <v>0</v>
      </c>
      <c r="E26" s="11">
        <v>0</v>
      </c>
    </row>
    <row r="27" spans="1:5" x14ac:dyDescent="0.2">
      <c r="A27" s="12">
        <v>43831</v>
      </c>
      <c r="B27" s="13" t="s">
        <v>29</v>
      </c>
      <c r="C27" s="14"/>
      <c r="D27" s="15">
        <v>155000000</v>
      </c>
      <c r="E27" s="15">
        <v>0</v>
      </c>
    </row>
    <row r="28" spans="1:5" x14ac:dyDescent="0.2">
      <c r="A28" s="8">
        <v>47484</v>
      </c>
      <c r="B28" s="9" t="s">
        <v>30</v>
      </c>
      <c r="C28" s="10"/>
      <c r="D28" s="11">
        <v>169000000</v>
      </c>
      <c r="E28" s="11">
        <v>0</v>
      </c>
    </row>
    <row r="29" spans="1:5" ht="29" x14ac:dyDescent="0.2">
      <c r="A29" s="12">
        <v>51136</v>
      </c>
      <c r="B29" s="13" t="s">
        <v>31</v>
      </c>
      <c r="C29" s="14"/>
      <c r="D29" s="15">
        <v>94750000</v>
      </c>
      <c r="E29" s="15">
        <v>0</v>
      </c>
    </row>
    <row r="30" spans="1:5" ht="29" x14ac:dyDescent="0.2">
      <c r="A30" s="8">
        <v>54789</v>
      </c>
      <c r="B30" s="9" t="s">
        <v>32</v>
      </c>
      <c r="C30" s="10"/>
      <c r="D30" s="11">
        <v>0</v>
      </c>
      <c r="E30" s="11">
        <v>11000000</v>
      </c>
    </row>
    <row r="31" spans="1:5" ht="29" x14ac:dyDescent="0.2">
      <c r="A31" s="12">
        <v>58441</v>
      </c>
      <c r="B31" s="13" t="s">
        <v>33</v>
      </c>
      <c r="C31" s="14"/>
      <c r="D31" s="15">
        <v>0</v>
      </c>
      <c r="E31" s="15">
        <v>0</v>
      </c>
    </row>
    <row r="32" spans="1:5" ht="43" x14ac:dyDescent="0.2">
      <c r="A32" s="8">
        <v>69399</v>
      </c>
      <c r="B32" s="9" t="s">
        <v>34</v>
      </c>
      <c r="C32" s="10"/>
      <c r="D32" s="11">
        <v>0</v>
      </c>
      <c r="E32" s="11">
        <v>0</v>
      </c>
    </row>
    <row r="33" spans="1:5" ht="43" x14ac:dyDescent="0.2">
      <c r="A33" s="12">
        <v>69764</v>
      </c>
      <c r="B33" s="13" t="s">
        <v>35</v>
      </c>
      <c r="C33" s="14"/>
      <c r="D33" s="15">
        <v>2716667</v>
      </c>
      <c r="E33" s="15">
        <v>0</v>
      </c>
    </row>
    <row r="34" spans="1:5" ht="43" x14ac:dyDescent="0.2">
      <c r="A34" s="8">
        <v>70129</v>
      </c>
      <c r="B34" s="9" t="s">
        <v>36</v>
      </c>
      <c r="C34" s="10"/>
      <c r="D34" s="11">
        <v>0</v>
      </c>
      <c r="E34" s="11">
        <v>0</v>
      </c>
    </row>
    <row r="35" spans="1:5" ht="57" x14ac:dyDescent="0.2">
      <c r="A35" s="12">
        <v>70495</v>
      </c>
      <c r="B35" s="13" t="s">
        <v>37</v>
      </c>
      <c r="C35" s="14"/>
      <c r="D35" s="15">
        <v>1251</v>
      </c>
      <c r="E35" s="15">
        <v>0</v>
      </c>
    </row>
    <row r="36" spans="1:5" ht="57" x14ac:dyDescent="0.2">
      <c r="A36" s="8">
        <v>70860</v>
      </c>
      <c r="B36" s="9" t="s">
        <v>38</v>
      </c>
      <c r="C36" s="10"/>
      <c r="D36" s="11">
        <v>650000</v>
      </c>
      <c r="E36" s="11">
        <v>0</v>
      </c>
    </row>
    <row r="37" spans="1:5" ht="57" x14ac:dyDescent="0.2">
      <c r="A37" s="12">
        <v>71225</v>
      </c>
      <c r="B37" s="13" t="s">
        <v>39</v>
      </c>
      <c r="C37" s="14"/>
      <c r="D37" s="15">
        <v>0</v>
      </c>
      <c r="E37" s="15">
        <v>0</v>
      </c>
    </row>
    <row r="38" spans="1:5" ht="29" x14ac:dyDescent="0.2">
      <c r="A38" s="8">
        <v>401769</v>
      </c>
      <c r="B38" s="9" t="s">
        <v>40</v>
      </c>
      <c r="C38" s="10"/>
      <c r="D38" s="11">
        <v>0</v>
      </c>
      <c r="E38" s="11">
        <v>0</v>
      </c>
    </row>
    <row r="39" spans="1:5" ht="43" x14ac:dyDescent="0.2">
      <c r="A39" s="12">
        <v>405421</v>
      </c>
      <c r="B39" s="13" t="s">
        <v>41</v>
      </c>
      <c r="C39" s="14"/>
      <c r="D39" s="15">
        <v>8000000</v>
      </c>
      <c r="E39" s="15">
        <v>0</v>
      </c>
    </row>
    <row r="40" spans="1:5" ht="29" x14ac:dyDescent="0.2">
      <c r="A40" s="8">
        <v>409073</v>
      </c>
      <c r="B40" s="9" t="s">
        <v>42</v>
      </c>
      <c r="C40" s="10"/>
      <c r="D40" s="11">
        <v>0</v>
      </c>
      <c r="E40" s="11">
        <v>0</v>
      </c>
    </row>
    <row r="41" spans="1:5" ht="57" x14ac:dyDescent="0.2">
      <c r="A41" s="12">
        <v>434641</v>
      </c>
      <c r="B41" s="13" t="s">
        <v>43</v>
      </c>
      <c r="C41" s="14"/>
      <c r="D41" s="15">
        <v>0</v>
      </c>
      <c r="E41" s="15">
        <v>0</v>
      </c>
    </row>
    <row r="42" spans="1:5" ht="29" x14ac:dyDescent="0.2">
      <c r="A42" s="8" t="s">
        <v>44</v>
      </c>
      <c r="B42" s="9" t="s">
        <v>45</v>
      </c>
      <c r="C42" s="10"/>
      <c r="D42" s="11">
        <v>0</v>
      </c>
      <c r="E42" s="11">
        <v>0</v>
      </c>
    </row>
    <row r="43" spans="1:5" ht="29" x14ac:dyDescent="0.2">
      <c r="A43" s="12">
        <v>-657403</v>
      </c>
      <c r="B43" s="13" t="s">
        <v>46</v>
      </c>
      <c r="C43" s="14"/>
      <c r="D43" s="15">
        <v>0</v>
      </c>
      <c r="E43" s="15">
        <v>2100000</v>
      </c>
    </row>
    <row r="44" spans="1:5" ht="29" x14ac:dyDescent="0.2">
      <c r="A44" s="8">
        <v>-620879</v>
      </c>
      <c r="B44" s="9" t="s">
        <v>47</v>
      </c>
      <c r="C44" s="10"/>
      <c r="D44" s="11">
        <v>0</v>
      </c>
      <c r="E44" s="11">
        <v>0</v>
      </c>
    </row>
    <row r="45" spans="1:5" x14ac:dyDescent="0.2">
      <c r="A45" s="12">
        <v>-584355</v>
      </c>
      <c r="B45" s="13" t="s">
        <v>48</v>
      </c>
      <c r="C45" s="14"/>
      <c r="D45" s="15">
        <v>0</v>
      </c>
      <c r="E45" s="15">
        <v>0</v>
      </c>
    </row>
    <row r="46" spans="1:5" ht="29" x14ac:dyDescent="0.2">
      <c r="A46" s="8">
        <v>-547831</v>
      </c>
      <c r="B46" s="9" t="s">
        <v>49</v>
      </c>
      <c r="C46" s="10"/>
      <c r="D46" s="11">
        <v>0</v>
      </c>
      <c r="E46" s="11">
        <v>0</v>
      </c>
    </row>
    <row r="47" spans="1:5" ht="57" x14ac:dyDescent="0.2">
      <c r="A47" s="12">
        <v>-511306</v>
      </c>
      <c r="B47" s="13" t="s">
        <v>50</v>
      </c>
      <c r="C47" s="14"/>
      <c r="D47" s="15">
        <v>0</v>
      </c>
      <c r="E47" s="15">
        <v>0</v>
      </c>
    </row>
    <row r="48" spans="1:5" ht="43" x14ac:dyDescent="0.2">
      <c r="A48" s="8">
        <v>-328685</v>
      </c>
      <c r="B48" s="9" t="s">
        <v>51</v>
      </c>
      <c r="C48" s="10"/>
      <c r="D48" s="11">
        <v>0</v>
      </c>
      <c r="E48" s="11">
        <v>0</v>
      </c>
    </row>
    <row r="49" spans="1:5" ht="43" x14ac:dyDescent="0.2">
      <c r="A49" s="12">
        <v>-292161</v>
      </c>
      <c r="B49" s="13" t="s">
        <v>52</v>
      </c>
      <c r="C49" s="14"/>
      <c r="D49" s="15">
        <v>0</v>
      </c>
      <c r="E49" s="15">
        <v>20000000</v>
      </c>
    </row>
    <row r="50" spans="1:5" ht="57" x14ac:dyDescent="0.2">
      <c r="A50" s="8">
        <v>-255637</v>
      </c>
      <c r="B50" s="9" t="s">
        <v>53</v>
      </c>
      <c r="C50" s="10"/>
      <c r="D50" s="11">
        <v>0</v>
      </c>
      <c r="E50" s="11">
        <v>0</v>
      </c>
    </row>
    <row r="51" spans="1:5" ht="57" x14ac:dyDescent="0.2">
      <c r="A51" s="12">
        <v>-219112</v>
      </c>
      <c r="B51" s="13" t="s">
        <v>54</v>
      </c>
      <c r="C51" s="14"/>
      <c r="D51" s="15">
        <v>0</v>
      </c>
      <c r="E51" s="15">
        <v>0</v>
      </c>
    </row>
    <row r="52" spans="1:5" x14ac:dyDescent="0.2">
      <c r="A52" s="8" t="s">
        <v>55</v>
      </c>
      <c r="B52" s="9" t="s">
        <v>56</v>
      </c>
      <c r="C52" s="10"/>
      <c r="D52" s="11">
        <v>0</v>
      </c>
      <c r="E52" s="11">
        <v>0</v>
      </c>
    </row>
    <row r="53" spans="1:5" ht="29" x14ac:dyDescent="0.2">
      <c r="A53" s="12">
        <v>-292133</v>
      </c>
      <c r="B53" s="13" t="s">
        <v>57</v>
      </c>
      <c r="C53" s="14"/>
      <c r="D53" s="15">
        <v>0</v>
      </c>
      <c r="E53" s="15">
        <v>357500000</v>
      </c>
    </row>
    <row r="54" spans="1:5" ht="43" x14ac:dyDescent="0.2">
      <c r="A54" s="8">
        <v>-255608</v>
      </c>
      <c r="B54" s="9" t="s">
        <v>58</v>
      </c>
      <c r="C54" s="10"/>
      <c r="D54" s="11">
        <v>0</v>
      </c>
      <c r="E54" s="11">
        <v>362221000</v>
      </c>
    </row>
    <row r="55" spans="1:5" ht="71" x14ac:dyDescent="0.2">
      <c r="A55" s="12">
        <v>-219084</v>
      </c>
      <c r="B55" s="13" t="s">
        <v>59</v>
      </c>
      <c r="C55" s="14"/>
      <c r="D55" s="15">
        <v>0</v>
      </c>
      <c r="E55" s="15">
        <v>0</v>
      </c>
    </row>
    <row r="56" spans="1:5" ht="43" x14ac:dyDescent="0.2">
      <c r="A56" s="8">
        <v>-182560</v>
      </c>
      <c r="B56" s="9" t="s">
        <v>60</v>
      </c>
      <c r="C56" s="10"/>
      <c r="D56" s="11">
        <v>0</v>
      </c>
      <c r="E56" s="11">
        <v>0</v>
      </c>
    </row>
    <row r="57" spans="1:5" ht="29" x14ac:dyDescent="0.2">
      <c r="A57" s="12">
        <v>-146036</v>
      </c>
      <c r="B57" s="13" t="s">
        <v>61</v>
      </c>
      <c r="C57" s="14"/>
      <c r="D57" s="15">
        <v>0</v>
      </c>
      <c r="E57" s="15">
        <v>200000000</v>
      </c>
    </row>
    <row r="58" spans="1:5" ht="43" x14ac:dyDescent="0.2">
      <c r="A58" s="8">
        <v>-109511</v>
      </c>
      <c r="B58" s="9" t="s">
        <v>62</v>
      </c>
      <c r="C58" s="10"/>
      <c r="D58" s="11">
        <v>0</v>
      </c>
      <c r="E58" s="11">
        <v>0</v>
      </c>
    </row>
    <row r="59" spans="1:5" ht="29" x14ac:dyDescent="0.2">
      <c r="A59" s="12">
        <v>-72987</v>
      </c>
      <c r="B59" s="13" t="s">
        <v>63</v>
      </c>
      <c r="C59" s="14"/>
      <c r="D59" s="15">
        <v>6000000</v>
      </c>
      <c r="E59" s="15">
        <v>0</v>
      </c>
    </row>
    <row r="60" spans="1:5" ht="43" x14ac:dyDescent="0.2">
      <c r="A60" s="8">
        <v>-36463</v>
      </c>
      <c r="B60" s="9" t="s">
        <v>64</v>
      </c>
      <c r="C60" s="10"/>
      <c r="D60" s="11">
        <v>1250000</v>
      </c>
      <c r="E60" s="11">
        <v>0</v>
      </c>
    </row>
    <row r="61" spans="1:5" ht="29" x14ac:dyDescent="0.2">
      <c r="A61" s="12">
        <v>61</v>
      </c>
      <c r="B61" s="13" t="s">
        <v>65</v>
      </c>
      <c r="C61" s="14"/>
      <c r="D61" s="15">
        <v>0</v>
      </c>
      <c r="E61" s="15">
        <v>0</v>
      </c>
    </row>
    <row r="62" spans="1:5" ht="29" x14ac:dyDescent="0.2">
      <c r="A62" s="8" t="s">
        <v>66</v>
      </c>
      <c r="B62" s="9" t="s">
        <v>67</v>
      </c>
      <c r="C62" s="10"/>
      <c r="D62" s="11">
        <v>0</v>
      </c>
      <c r="E62" s="11">
        <v>0</v>
      </c>
    </row>
    <row r="63" spans="1:5" ht="57" x14ac:dyDescent="0.2">
      <c r="A63" s="12">
        <v>-292102</v>
      </c>
      <c r="B63" s="13" t="s">
        <v>68</v>
      </c>
      <c r="C63" s="14"/>
      <c r="D63" s="15">
        <v>0</v>
      </c>
      <c r="E63" s="15">
        <v>1510000</v>
      </c>
    </row>
    <row r="64" spans="1:5" ht="57" x14ac:dyDescent="0.2">
      <c r="A64" s="8">
        <v>-255577</v>
      </c>
      <c r="B64" s="9" t="s">
        <v>69</v>
      </c>
      <c r="C64" s="10"/>
      <c r="D64" s="11">
        <v>0</v>
      </c>
      <c r="E64" s="11">
        <v>9900000</v>
      </c>
    </row>
    <row r="65" spans="1:5" ht="29" x14ac:dyDescent="0.2">
      <c r="A65" s="12">
        <v>-219053</v>
      </c>
      <c r="B65" s="13" t="s">
        <v>70</v>
      </c>
      <c r="C65" s="14"/>
      <c r="D65" s="15">
        <v>0</v>
      </c>
      <c r="E65" s="15">
        <v>1800000</v>
      </c>
    </row>
    <row r="66" spans="1:5" ht="29" x14ac:dyDescent="0.2">
      <c r="A66" s="8">
        <v>-182529</v>
      </c>
      <c r="B66" s="9" t="s">
        <v>71</v>
      </c>
      <c r="C66" s="10"/>
      <c r="D66" s="11">
        <v>0</v>
      </c>
      <c r="E66" s="11">
        <v>0</v>
      </c>
    </row>
    <row r="67" spans="1:5" ht="29" x14ac:dyDescent="0.2">
      <c r="A67" s="12">
        <v>-146005</v>
      </c>
      <c r="B67" s="13" t="s">
        <v>72</v>
      </c>
      <c r="C67" s="14"/>
      <c r="D67" s="15">
        <v>0</v>
      </c>
      <c r="E67" s="15">
        <v>0</v>
      </c>
    </row>
    <row r="68" spans="1:5" ht="43" x14ac:dyDescent="0.2">
      <c r="A68" s="8">
        <v>-109480</v>
      </c>
      <c r="B68" s="9" t="s">
        <v>73</v>
      </c>
      <c r="C68" s="10"/>
      <c r="D68" s="11">
        <v>0</v>
      </c>
      <c r="E68" s="11">
        <v>0</v>
      </c>
    </row>
    <row r="69" spans="1:5" ht="43" x14ac:dyDescent="0.2">
      <c r="A69" s="12">
        <v>36617</v>
      </c>
      <c r="B69" s="13" t="s">
        <v>74</v>
      </c>
      <c r="C69" s="14"/>
      <c r="D69" s="15">
        <v>0</v>
      </c>
      <c r="E69" s="15">
        <v>0</v>
      </c>
    </row>
    <row r="70" spans="1:5" ht="29" x14ac:dyDescent="0.2">
      <c r="A70" s="8">
        <v>73141</v>
      </c>
      <c r="B70" s="9" t="s">
        <v>75</v>
      </c>
      <c r="C70" s="10"/>
      <c r="D70" s="11">
        <v>0</v>
      </c>
      <c r="E70" s="11">
        <v>0</v>
      </c>
    </row>
    <row r="71" spans="1:5" ht="43" x14ac:dyDescent="0.2">
      <c r="A71" s="12">
        <v>109665</v>
      </c>
      <c r="B71" s="13" t="s">
        <v>76</v>
      </c>
      <c r="C71" s="14"/>
      <c r="D71" s="15">
        <v>0</v>
      </c>
      <c r="E71" s="15">
        <v>2553334</v>
      </c>
    </row>
    <row r="72" spans="1:5" ht="57" x14ac:dyDescent="0.2">
      <c r="A72" s="8">
        <v>146189</v>
      </c>
      <c r="B72" s="9" t="s">
        <v>77</v>
      </c>
      <c r="C72" s="10"/>
      <c r="D72" s="11">
        <v>0</v>
      </c>
      <c r="E72" s="11">
        <v>0</v>
      </c>
    </row>
    <row r="73" spans="1:5" ht="57" x14ac:dyDescent="0.2">
      <c r="A73" s="12" t="s">
        <v>78</v>
      </c>
      <c r="B73" s="13" t="s">
        <v>79</v>
      </c>
      <c r="C73" s="14"/>
      <c r="D73" s="15">
        <v>0</v>
      </c>
      <c r="E73" s="15">
        <v>0</v>
      </c>
    </row>
    <row r="74" spans="1:5" ht="29" x14ac:dyDescent="0.2">
      <c r="A74" s="8">
        <v>-292072</v>
      </c>
      <c r="B74" s="9" t="s">
        <v>80</v>
      </c>
      <c r="C74" s="10"/>
      <c r="D74" s="11">
        <v>336000</v>
      </c>
      <c r="E74" s="11">
        <v>0</v>
      </c>
    </row>
    <row r="75" spans="1:5" ht="43" x14ac:dyDescent="0.2">
      <c r="A75" s="12">
        <v>-255547</v>
      </c>
      <c r="B75" s="13" t="s">
        <v>81</v>
      </c>
      <c r="C75" s="14"/>
      <c r="D75" s="15">
        <v>4384560.8</v>
      </c>
      <c r="E75" s="15">
        <v>0</v>
      </c>
    </row>
    <row r="76" spans="1:5" ht="57" x14ac:dyDescent="0.2">
      <c r="A76" s="8" t="s">
        <v>78</v>
      </c>
      <c r="B76" s="9" t="s">
        <v>79</v>
      </c>
      <c r="C76" s="10"/>
      <c r="D76" s="11">
        <v>0</v>
      </c>
      <c r="E76" s="11">
        <v>0</v>
      </c>
    </row>
    <row r="77" spans="1:5" ht="43" x14ac:dyDescent="0.2">
      <c r="A77" s="12" t="s">
        <v>82</v>
      </c>
      <c r="B77" s="13" t="s">
        <v>83</v>
      </c>
      <c r="C77" s="14"/>
      <c r="D77" s="15">
        <v>6400000</v>
      </c>
      <c r="E77" s="15">
        <v>0</v>
      </c>
    </row>
    <row r="78" spans="1:5" ht="29" x14ac:dyDescent="0.2">
      <c r="A78" s="8" t="s">
        <v>84</v>
      </c>
      <c r="B78" s="9" t="s">
        <v>85</v>
      </c>
      <c r="C78" s="10"/>
      <c r="D78" s="11">
        <v>0</v>
      </c>
      <c r="E78" s="11">
        <v>175000</v>
      </c>
    </row>
    <row r="79" spans="1:5" ht="71" x14ac:dyDescent="0.2">
      <c r="A79" s="12" t="s">
        <v>86</v>
      </c>
      <c r="B79" s="13" t="s">
        <v>87</v>
      </c>
      <c r="C79" s="14"/>
      <c r="D79" s="15">
        <v>775000</v>
      </c>
      <c r="E79" s="15">
        <v>0</v>
      </c>
    </row>
    <row r="80" spans="1:5" ht="57" x14ac:dyDescent="0.2">
      <c r="A80" s="8">
        <v>113712</v>
      </c>
      <c r="B80" s="9" t="s">
        <v>88</v>
      </c>
      <c r="C80" s="10"/>
      <c r="D80" s="11">
        <v>450000</v>
      </c>
      <c r="E80" s="11">
        <v>0</v>
      </c>
    </row>
    <row r="81" spans="1:5" ht="71" x14ac:dyDescent="0.2">
      <c r="A81" s="12" t="s">
        <v>89</v>
      </c>
      <c r="B81" s="13" t="s">
        <v>90</v>
      </c>
      <c r="C81" s="14"/>
      <c r="D81" s="15">
        <v>1700000</v>
      </c>
      <c r="E81" s="15">
        <v>0</v>
      </c>
    </row>
    <row r="82" spans="1:5" ht="29" x14ac:dyDescent="0.2">
      <c r="A82" s="8" t="s">
        <v>91</v>
      </c>
      <c r="B82" s="9" t="s">
        <v>92</v>
      </c>
      <c r="C82" s="10"/>
      <c r="D82" s="11">
        <v>2475000</v>
      </c>
      <c r="E82" s="11">
        <v>0</v>
      </c>
    </row>
    <row r="83" spans="1:5" ht="43" x14ac:dyDescent="0.2">
      <c r="A83" s="12" t="s">
        <v>93</v>
      </c>
      <c r="B83" s="13" t="s">
        <v>94</v>
      </c>
      <c r="C83" s="14"/>
      <c r="D83" s="15">
        <v>250000</v>
      </c>
      <c r="E83" s="15">
        <v>0</v>
      </c>
    </row>
    <row r="84" spans="1:5" ht="29" x14ac:dyDescent="0.2">
      <c r="A84" s="8" t="s">
        <v>95</v>
      </c>
      <c r="B84" s="9" t="s">
        <v>96</v>
      </c>
      <c r="C84" s="10"/>
      <c r="D84" s="11">
        <v>0</v>
      </c>
      <c r="E84" s="11">
        <v>0</v>
      </c>
    </row>
    <row r="85" spans="1:5" ht="57" x14ac:dyDescent="0.2">
      <c r="A85" s="12" t="s">
        <v>97</v>
      </c>
      <c r="B85" s="13" t="s">
        <v>98</v>
      </c>
      <c r="C85" s="14"/>
      <c r="D85" s="15">
        <v>1850000</v>
      </c>
      <c r="E85" s="15">
        <v>0</v>
      </c>
    </row>
    <row r="86" spans="1:5" ht="43" x14ac:dyDescent="0.2">
      <c r="A86" s="8" t="s">
        <v>99</v>
      </c>
      <c r="B86" s="9" t="s">
        <v>100</v>
      </c>
      <c r="C86" s="10"/>
      <c r="D86" s="11">
        <v>510416</v>
      </c>
      <c r="E86" s="11">
        <v>0</v>
      </c>
    </row>
    <row r="87" spans="1:5" ht="43" x14ac:dyDescent="0.2">
      <c r="A87" s="12" t="s">
        <v>101</v>
      </c>
      <c r="B87" s="13" t="s">
        <v>102</v>
      </c>
      <c r="C87" s="14"/>
      <c r="D87" s="15">
        <v>500000</v>
      </c>
      <c r="E87" s="15">
        <v>0</v>
      </c>
    </row>
    <row r="88" spans="1:5" ht="29" x14ac:dyDescent="0.2">
      <c r="A88" s="8" t="s">
        <v>103</v>
      </c>
      <c r="B88" s="9" t="s">
        <v>104</v>
      </c>
      <c r="C88" s="10"/>
      <c r="D88" s="11">
        <v>0</v>
      </c>
      <c r="E88" s="11">
        <v>0</v>
      </c>
    </row>
    <row r="89" spans="1:5" ht="29" x14ac:dyDescent="0.2">
      <c r="A89" s="12" t="s">
        <v>105</v>
      </c>
      <c r="B89" s="13" t="s">
        <v>106</v>
      </c>
      <c r="C89" s="14"/>
      <c r="D89" s="15">
        <v>0</v>
      </c>
      <c r="E89" s="15">
        <v>0</v>
      </c>
    </row>
    <row r="90" spans="1:5" ht="43" x14ac:dyDescent="0.2">
      <c r="A90" s="8" t="s">
        <v>107</v>
      </c>
      <c r="B90" s="9" t="s">
        <v>108</v>
      </c>
      <c r="C90" s="10"/>
      <c r="D90" s="11">
        <v>0</v>
      </c>
      <c r="E90" s="11">
        <v>0</v>
      </c>
    </row>
    <row r="91" spans="1:5" ht="29" x14ac:dyDescent="0.2">
      <c r="A91" s="12" t="s">
        <v>109</v>
      </c>
      <c r="B91" s="13" t="s">
        <v>110</v>
      </c>
      <c r="C91" s="14"/>
      <c r="D91" s="15">
        <v>0</v>
      </c>
      <c r="E91" s="15">
        <v>0</v>
      </c>
    </row>
    <row r="92" spans="1:5" x14ac:dyDescent="0.2">
      <c r="A92" s="8" t="s">
        <v>111</v>
      </c>
      <c r="B92" s="9" t="s">
        <v>112</v>
      </c>
      <c r="C92" s="10"/>
      <c r="D92" s="11">
        <v>0</v>
      </c>
      <c r="E92" s="11">
        <v>0</v>
      </c>
    </row>
    <row r="93" spans="1:5" ht="29" x14ac:dyDescent="0.2">
      <c r="A93" s="12" t="s">
        <v>113</v>
      </c>
      <c r="B93" s="13" t="s">
        <v>114</v>
      </c>
      <c r="C93" s="14"/>
      <c r="D93" s="15">
        <v>0</v>
      </c>
      <c r="E93" s="15">
        <v>0</v>
      </c>
    </row>
    <row r="94" spans="1:5" ht="29" x14ac:dyDescent="0.2">
      <c r="A94" s="8" t="s">
        <v>115</v>
      </c>
      <c r="B94" s="9" t="s">
        <v>116</v>
      </c>
      <c r="C94" s="10"/>
      <c r="D94" s="11">
        <v>0</v>
      </c>
      <c r="E94" s="11">
        <v>0</v>
      </c>
    </row>
    <row r="95" spans="1:5" ht="43" x14ac:dyDescent="0.2">
      <c r="A95" s="12" t="s">
        <v>117</v>
      </c>
      <c r="B95" s="13" t="s">
        <v>118</v>
      </c>
      <c r="C95" s="14"/>
      <c r="D95" s="15">
        <v>47425000</v>
      </c>
      <c r="E95" s="15">
        <v>0</v>
      </c>
    </row>
    <row r="96" spans="1:5" ht="43" x14ac:dyDescent="0.2">
      <c r="A96" s="8" t="s">
        <v>119</v>
      </c>
      <c r="B96" s="9" t="s">
        <v>120</v>
      </c>
      <c r="C96" s="10"/>
      <c r="D96" s="11">
        <v>0</v>
      </c>
      <c r="E96" s="11">
        <v>0</v>
      </c>
    </row>
    <row r="97" spans="1:5" x14ac:dyDescent="0.2">
      <c r="A97" s="16"/>
      <c r="B97" s="17"/>
      <c r="C97" s="14"/>
      <c r="D97" s="18"/>
      <c r="E97" s="18"/>
    </row>
    <row r="98" spans="1:5" x14ac:dyDescent="0.2">
      <c r="A98" s="19" t="s">
        <v>121</v>
      </c>
      <c r="B98" s="20"/>
      <c r="C98" s="20"/>
      <c r="D98" s="21">
        <f t="shared" ref="D98:E98" si="0">SUM(D6:D96)</f>
        <v>969259334</v>
      </c>
      <c r="E98" s="21">
        <f t="shared" si="0"/>
        <v>969259334</v>
      </c>
    </row>
    <row r="99" spans="1:5" x14ac:dyDescent="0.2">
      <c r="A99" s="19" t="s">
        <v>122</v>
      </c>
      <c r="B99" s="22"/>
      <c r="C99" s="22"/>
      <c r="D99" s="21">
        <f>E98-D98</f>
        <v>0</v>
      </c>
      <c r="E99" s="23" t="str">
        <f>IF(D98=E98,"BALANCE","TIDAK BALANCE")</f>
        <v>BALANCE</v>
      </c>
    </row>
  </sheetData>
  <mergeCells count="5">
    <mergeCell ref="A1:E1"/>
    <mergeCell ref="A2:E2"/>
    <mergeCell ref="A3:E3"/>
    <mergeCell ref="A98:C98"/>
    <mergeCell ref="A99:C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2026-06-16T10:05:13Z</dcterms:modified>
</cp:coreProperties>
</file>