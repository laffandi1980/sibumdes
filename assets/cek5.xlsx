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ffandi/Desktop/"/>
    </mc:Choice>
  </mc:AlternateContent>
  <xr:revisionPtr revIDLastSave="0" documentId="8_{E03FB5D2-1FE8-984F-B19A-5782B1941765}" xr6:coauthVersionLast="47" xr6:coauthVersionMax="47" xr10:uidLastSave="{00000000-0000-0000-0000-000000000000}"/>
  <bookViews>
    <workbookView xWindow="780" yWindow="1000" windowWidth="27640" windowHeight="15760" xr2:uid="{1ECB2584-FB46-144F-8E02-F6ECE461B181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H19" i="1"/>
  <c r="H18" i="1"/>
  <c r="H17" i="1"/>
  <c r="H16" i="1"/>
  <c r="F10" i="1"/>
  <c r="H10" i="1" s="1"/>
  <c r="F9" i="1"/>
  <c r="H9" i="1" s="1"/>
  <c r="F8" i="1"/>
  <c r="H8" i="1" s="1"/>
  <c r="H7" i="1"/>
  <c r="F7" i="1"/>
  <c r="F12" i="1" s="1"/>
  <c r="H6" i="1"/>
  <c r="H5" i="1"/>
  <c r="H4" i="1"/>
  <c r="H12" i="1" l="1"/>
</calcChain>
</file>

<file path=xl/sharedStrings.xml><?xml version="1.0" encoding="utf-8"?>
<sst xmlns="http://schemas.openxmlformats.org/spreadsheetml/2006/main" count="246" uniqueCount="69">
  <si>
    <t>UNIT USAHA 1</t>
  </si>
  <si>
    <t>PETERNAKAN TELUR SEJAHTERA</t>
  </si>
  <si>
    <t>Tanggal</t>
  </si>
  <si>
    <t>Unit Usaha</t>
  </si>
  <si>
    <t>Deskripsi Transaksi</t>
  </si>
  <si>
    <t>Keterangan</t>
  </si>
  <si>
    <t>Akun Debit</t>
  </si>
  <si>
    <t>Nominal</t>
  </si>
  <si>
    <t>Akun Kredit</t>
  </si>
  <si>
    <t>Nominal 2</t>
  </si>
  <si>
    <t>Sumber Mapping</t>
  </si>
  <si>
    <t>Aset Tetap</t>
  </si>
  <si>
    <t>Persediaan</t>
  </si>
  <si>
    <t>Bk Utang</t>
  </si>
  <si>
    <t>Bk Piutang</t>
  </si>
  <si>
    <t>Jurnal Penyesuaian</t>
  </si>
  <si>
    <t>31/01/2026</t>
  </si>
  <si>
    <t>Peternakan Telur Sejahtera</t>
  </si>
  <si>
    <t>Masukkan nilai biaya produksi ke stok telur</t>
  </si>
  <si>
    <t>Biaya produksi Telur Ayam Grade A</t>
  </si>
  <si>
    <t>1-1420 Persediaan Barang Jadi</t>
  </si>
  <si>
    <t>5-2210 Beban Operasional Peternakan Ayam Petelur</t>
  </si>
  <si>
    <t>-</t>
  </si>
  <si>
    <t>Ya</t>
  </si>
  <si>
    <t>Biaya produksi Telur Ayam Grade B</t>
  </si>
  <si>
    <t>Tambahan biaya produksi Telur Ayam Grade A</t>
  </si>
  <si>
    <t>Catat Penyusutan Kandang</t>
  </si>
  <si>
    <t>Penyusutan Kandang Pembesaran Baru Januari</t>
  </si>
  <si>
    <t>5-2700 Beban Penyusutan</t>
  </si>
  <si>
    <t>1-2091 Akumulasi Penyusutan Bangunan</t>
  </si>
  <si>
    <t>Catat Penyusutan Mesin Pakan</t>
  </si>
  <si>
    <t>Penyusutan Mesin Pakan Otomatis Januari</t>
  </si>
  <si>
    <t>1-2093 Akumulasi Penyusutan Peralatan dan Mesin</t>
  </si>
  <si>
    <t>Penyusutan Mesin Pakan Semi Auto Januari</t>
  </si>
  <si>
    <t>Penyesuaian stok telur akhir bulan - stok berkurang/rusak</t>
  </si>
  <si>
    <t>Selisih stok karena telur Grade A pecah 29 kg</t>
  </si>
  <si>
    <t>5-1200 HPP Barang Jadi / Hasil Produksi</t>
  </si>
  <si>
    <t>UNIT USAHA 2</t>
  </si>
  <si>
    <t>MINIMARKET DESA MART</t>
  </si>
  <si>
    <t>Minimarket Desa Mart</t>
  </si>
  <si>
    <t>Perbaiki catatan penjualan toko</t>
  </si>
  <si>
    <t>Pendapatan barang dagangan salah klasifikasi</t>
  </si>
  <si>
    <t>4-2300 Pendapatan Lain-lain Non-Operasional</t>
  </si>
  <si>
    <t>4-1100 Pendapatan Penjualan Barang Dagangan</t>
  </si>
  <si>
    <t>Koreksi pembelian ke perlengkapan toko</t>
  </si>
  <si>
    <t>Perlengkapan toko salah dicatat sebagai beban administrasi</t>
  </si>
  <si>
    <t>1-1510 Perlengkapan</t>
  </si>
  <si>
    <t>5-2400 Beban Administrasi dan Umum</t>
  </si>
  <si>
    <t>Penyesuaian stok barang toko - stok bertambah</t>
  </si>
  <si>
    <t>Beras Premium 5Kg - selisih lebih 10 sak</t>
  </si>
  <si>
    <t>1-1410 Persediaan Barang Dagangan</t>
  </si>
  <si>
    <t>5-1100 HPP Barang Dagangan</t>
  </si>
  <si>
    <t>Minyak Goreng 1L - selisih lebih 20 botol</t>
  </si>
  <si>
    <t>UNIT USAHA 3</t>
  </si>
  <si>
    <t>LAYANAN JASA DESA PRIMA</t>
  </si>
  <si>
    <t>Layanan Jasa Desa Prima</t>
  </si>
  <si>
    <t>Perbaiki catatan jasa yang salah</t>
  </si>
  <si>
    <t>Koreksi jasa print</t>
  </si>
  <si>
    <t>4-1300 Pendapatan Jasa</t>
  </si>
  <si>
    <t>Koreksi pembayaran online</t>
  </si>
  <si>
    <t>Koreksi biaya ke beban operasional layanan jasa</t>
  </si>
  <si>
    <t>Koreksi beban ATK</t>
  </si>
  <si>
    <t>5-2212 Beban Operasional Layanan Jasa Desa Prima</t>
  </si>
  <si>
    <t>5-2200 Beban Administrasi dan Umum</t>
  </si>
  <si>
    <t>Koreksi biaya transport</t>
  </si>
  <si>
    <t>Sewa/asuransi dibayar di muka yang sudah menjadi beban periode berjalan</t>
  </si>
  <si>
    <t>Sewa kios jasa yang sudah menjadi beban Januari</t>
  </si>
  <si>
    <t>5-2600 Beban Sewa dan Asuransi</t>
  </si>
  <si>
    <t>1-1520 Biaya Dibayar di Muka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</si>
</sst>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Rp]#,##0"/>
    <numFmt numFmtId="165" formatCode="_-[$Rp-421]* #,##0.00_-;_-[$Rp-421]* \-#,##0.00_-;_-[$Rp-421]* &quot;-&quot;??_-;_-@"/>
    <numFmt numFmtId="166" formatCode="mm/dd/yyyy"/>
  </numFmts>
  <fonts count="11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6D01"/>
      <name val="Calibri"/>
      <family val="2"/>
      <scheme val="minor"/>
    </font>
    <font>
      <sz val="10"/>
      <color rgb="FFFF6D01"/>
      <name val="Arial"/>
      <family val="2"/>
    </font>
    <font>
      <sz val="10"/>
      <color rgb="FF4A86E8"/>
      <name val="Calibri"/>
      <family val="2"/>
      <scheme val="minor"/>
    </font>
    <font>
      <sz val="10"/>
      <color rgb="FF4A86E8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164" fontId="2" fillId="2" borderId="0" xfId="0" applyNumberFormat="1" applyFont="1" applyFill="1"/>
    <xf numFmtId="0" fontId="3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65" fontId="6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left"/>
    </xf>
    <xf numFmtId="0" fontId="5" fillId="0" borderId="0" xfId="0" applyFont="1"/>
    <xf numFmtId="0" fontId="7" fillId="0" borderId="0" xfId="0" applyFont="1" applyAlignment="1">
      <alignment horizontal="left"/>
    </xf>
    <xf numFmtId="165" fontId="8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left"/>
    </xf>
    <xf numFmtId="0" fontId="7" fillId="0" borderId="0" xfId="0" applyFont="1"/>
    <xf numFmtId="0" fontId="9" fillId="3" borderId="0" xfId="0" applyFont="1" applyFill="1" applyAlignment="1">
      <alignment horizontal="center"/>
    </xf>
    <xf numFmtId="164" fontId="9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left"/>
    </xf>
    <xf numFmtId="0" fontId="3" fillId="3" borderId="0" xfId="0" applyFont="1" applyFill="1" applyAlignment="1">
      <alignment horizontal="center"/>
    </xf>
    <xf numFmtId="166" fontId="3" fillId="3" borderId="0" xfId="0" applyNumberFormat="1" applyFont="1" applyFill="1" applyAlignment="1">
      <alignment horizontal="center"/>
    </xf>
    <xf numFmtId="0" fontId="3" fillId="3" borderId="0" xfId="0" applyFont="1" applyFill="1"/>
    <xf numFmtId="164" fontId="3" fillId="3" borderId="0" xfId="0" applyNumberFormat="1" applyFont="1" applyFill="1"/>
    <xf numFmtId="0" fontId="3" fillId="0" borderId="0" xfId="0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 defaultTableStyle="TableStyleMedium2" defaultPivotStyle="PivotStyleLight16">
    <tableStyle name="Jurnal Penyesuaian-style" pivot="0" count="3" xr9:uid="{9C3EDF1D-C225-444B-9933-8364C578E8BE}">
      <tableStyleElement type="headerRow" dxfId="11"/>
      <tableStyleElement type="firstRowStripe" dxfId="10"/>
      <tableStyleElement type="secondRowStripe" dxfId="9"/>
    </tableStyle>
    <tableStyle name="Jurnal Penyesuaian-style 2" pivot="0" count="3" xr9:uid="{F00E8A9F-DF71-7F44-812D-E990E9924CD8}">
      <tableStyleElement type="headerRow" dxfId="8"/>
      <tableStyleElement type="firstRowStripe" dxfId="7"/>
      <tableStyleElement type="secondRowStripe" dxfId="6"/>
    </tableStyle>
    <tableStyle name="Jurnal Penyesuaian-style 3" pivot="0" count="3" xr9:uid="{F36FA0AB-3AFE-F445-9FAB-FF17C090A6B8}">
      <tableStyleElement type="headerRow" dxfId="5"/>
      <tableStyleElement type="firstRowStripe" dxfId="4"/>
      <tableStyleElement type="secondRowStripe" dxfId="3"/>
    </tableStyle>
    <tableStyle name="Jurnal Penyesuaian-style 4" pivot="0" count="3" xr9:uid="{82AE09B0-EA4D-C240-9532-84D55BC795FE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Simulasi%20BUDAYA%2001%20(1).xlsx" TargetMode="External"/><Relationship Id="rId2" Type="http://schemas.openxmlformats.org/officeDocument/2006/relationships/externalLinkPath" Target="/Users/luqmanaffandi/Downloads/Simulasi%20BUDAYA%2001%20(1).xlsx" TargetMode="External"/><Relationship Id="rId1" Type="http://schemas.openxmlformats.org/officeDocument/2006/relationships/externalLinkPath" Target="/Users/luqmanaffandi/Downloads/Simulasi%20BUDAYA%20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 Menu"/>
      <sheetName val="Profil BUMDes"/>
      <sheetName val="Hak Akses"/>
      <sheetName val="Master Data"/>
      <sheetName val="CoA"/>
      <sheetName val="Mapping Transaksi Rutin"/>
      <sheetName val="Mapping Transaksi Non Rutin"/>
      <sheetName val="Mapping Transaksi Lainnya"/>
      <sheetName val="Mapping Jurnal Penyesuaian"/>
      <sheetName val="Saldo Awal"/>
      <sheetName val="Input Transaksi"/>
      <sheetName val="Jurnal"/>
      <sheetName val="Buku Pembantu - Piutang"/>
      <sheetName val="Buku Pembantu - Utang"/>
      <sheetName val="Kartu Persediaan"/>
      <sheetName val="Kartu Aset Tetap"/>
      <sheetName val="Jurnal Penyesuaian"/>
      <sheetName val="Histori Akun"/>
      <sheetName val="Neraca Saldo Setelah Disesuaika"/>
      <sheetName val="Lap Laba Rugi"/>
      <sheetName val="Laporan Penyertaan Modal"/>
      <sheetName val="Laporan Perubahan Modal"/>
      <sheetName val="Neraca"/>
      <sheetName val="Laporan Arus Kas"/>
      <sheetName val="Rasio Keuangan"/>
      <sheetName val="BMC- Analisa Kelayakan Usah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I15">
            <v>146279.71551071879</v>
          </cell>
        </row>
        <row r="41">
          <cell r="F41">
            <v>680000</v>
          </cell>
        </row>
        <row r="51">
          <cell r="F51">
            <v>310000</v>
          </cell>
        </row>
      </sheetData>
      <sheetData sheetId="15">
        <row r="13">
          <cell r="O13">
            <v>177083</v>
          </cell>
        </row>
        <row r="15">
          <cell r="O15">
            <v>208333</v>
          </cell>
        </row>
        <row r="16">
          <cell r="O16">
            <v>125000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F63489-FF93-C742-B4E7-40AD03BB39DC}" name="Table_10" displayName="Table_10" ref="A3:N10">
  <tableColumns count="14">
    <tableColumn id="1" xr3:uid="{5B82CFDC-1D7A-E74C-802E-0DA670F6C31E}" name="Tanggal"/>
    <tableColumn id="2" xr3:uid="{355EDCC5-F488-3C4E-B5B3-81A37A1BF0A5}" name="Unit Usaha"/>
    <tableColumn id="3" xr3:uid="{40822D24-8A67-2E47-857A-5A42F7707872}" name="Deskripsi Transaksi"/>
    <tableColumn id="4" xr3:uid="{7B9EBA90-6AD4-6D4C-8F57-EC81E2E31B92}" name="Keterangan"/>
    <tableColumn id="5" xr3:uid="{3073AE9D-F0AA-0941-B373-0406C8592BBE}" name="Akun Debit"/>
    <tableColumn id="6" xr3:uid="{50C08A57-44B2-C64E-B10E-4EBBF24AE2E5}" name="Nominal"/>
    <tableColumn id="7" xr3:uid="{2AFB7EEF-C96A-4B47-A422-E13A8D7460F4}" name="Akun Kredit"/>
    <tableColumn id="8" xr3:uid="{B9DB3208-52CA-B74C-9284-B22A492291A6}" name="Nominal 2">
      <calculatedColumnFormula>F4</calculatedColumnFormula>
    </tableColumn>
    <tableColumn id="9" xr3:uid="{CAE8B1A5-643A-2B45-BB56-2FB84AC77EE7}" name="Sumber Mapping"/>
    <tableColumn id="10" xr3:uid="{8F02BE9F-165E-B547-B13F-2ED40595FE52}" name="Aset Tetap"/>
    <tableColumn id="11" xr3:uid="{A3301417-2512-0C4B-94AD-2ED9AE9B43A2}" name="Persediaan"/>
    <tableColumn id="12" xr3:uid="{1023BDFD-8402-9841-BEB1-FB7D95AEDC9B}" name="Bk Utang"/>
    <tableColumn id="13" xr3:uid="{425A4B8E-1658-584D-B329-72783EDDD7BA}" name="Bk Piutang"/>
    <tableColumn id="14" xr3:uid="{C0208CB3-955F-B84E-B063-20912B5C30EC}" name="Jurnal Penyesuaian"/>
  </tableColumns>
  <tableStyleInfo name="Jurnal Penyesuaia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3F59E3-E9A6-9648-B6AE-1E8DCCE95D6A}" name="Table_11" displayName="Table_11" ref="A12:N12" headerRowCount="0">
  <tableColumns count="14">
    <tableColumn id="1" xr3:uid="{C8DE4010-3B4A-334F-B4A4-EA7D1A96460E}" name="Column1"/>
    <tableColumn id="2" xr3:uid="{89F7D757-6241-214E-9AC8-C0CE9FE63083}" name="Column2"/>
    <tableColumn id="3" xr3:uid="{615F2DDD-6A8A-C047-B67E-D8551B850694}" name="Column3"/>
    <tableColumn id="4" xr3:uid="{67495BA0-ECB9-7445-B8C4-F425CEE42D7A}" name="Column4"/>
    <tableColumn id="5" xr3:uid="{3417C9C3-A7A5-A243-8945-CA74519B4F9D}" name="Column5"/>
    <tableColumn id="6" xr3:uid="{F0F2593A-820C-CE41-891E-35F4AE68119C}" name="Column6">
      <calculatedColumnFormula>SUM(F4:F10)</calculatedColumnFormula>
    </tableColumn>
    <tableColumn id="7" xr3:uid="{AE0B94E9-9CD0-4845-ACA8-B3B8AB2FF771}" name="Column7"/>
    <tableColumn id="8" xr3:uid="{FAD8993D-5430-C546-B276-25162F5FD6AB}" name="Column8">
      <calculatedColumnFormula>SUM(H4:H10)</calculatedColumnFormula>
    </tableColumn>
    <tableColumn id="9" xr3:uid="{DE6DC33F-8BAD-F648-8AB0-1961E2388A1C}" name="Column9"/>
    <tableColumn id="10" xr3:uid="{FF897026-EF77-8049-9866-668A2AD99472}" name="Column10"/>
    <tableColumn id="11" xr3:uid="{E7143527-F80D-5C4F-A3FE-D9BB303E795E}" name="Column11"/>
    <tableColumn id="12" xr3:uid="{D51146B8-F105-E241-8362-D958F43B5D53}" name="Column12"/>
    <tableColumn id="13" xr3:uid="{40B04885-326B-ED4F-AE44-6F35A067C696}" name="Column13"/>
    <tableColumn id="14" xr3:uid="{51D1C10B-64C0-4445-ADC0-E5093A742DFB}" name="Column14"/>
  </tableColumns>
  <tableStyleInfo name="Jurnal Penyesuaia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984926-40F7-2A44-AA7E-E4C46B96B644}" name="Table_12" displayName="Table_12" ref="A15:N15" headerRowCount="0">
  <tableColumns count="14">
    <tableColumn id="1" xr3:uid="{50798951-D12C-454F-812C-7E050E59706E}" name="Column1"/>
    <tableColumn id="2" xr3:uid="{B440BB5B-04A1-294D-B8DF-BECB939FA3F1}" name="Column2"/>
    <tableColumn id="3" xr3:uid="{B99405D2-C59C-F746-A2E7-A579CD9F25BD}" name="Column3"/>
    <tableColumn id="4" xr3:uid="{CBA87910-C206-CA4F-A4AE-24927FAB3B5B}" name="Column4"/>
    <tableColumn id="5" xr3:uid="{BC5870CB-3E75-CE4D-952A-7F66F6E27EAE}" name="Column5"/>
    <tableColumn id="6" xr3:uid="{439D98CE-579E-3347-B9FD-4653933FCF1E}" name="Column6"/>
    <tableColumn id="7" xr3:uid="{B44FCF8A-5C3E-D544-825B-6980FF814A2B}" name="Column7"/>
    <tableColumn id="8" xr3:uid="{7FFD97A2-D89C-E742-BB0A-B959193F3206}" name="Column8"/>
    <tableColumn id="9" xr3:uid="{C35E3884-FBD6-714C-BB86-34E036052A13}" name="Column9"/>
    <tableColumn id="10" xr3:uid="{DCED247C-9BAF-EF43-A3FA-C9428A4BF753}" name="Column10"/>
    <tableColumn id="11" xr3:uid="{5760CD88-5A7C-764A-A015-514AD414E5F4}" name="Column11"/>
    <tableColumn id="12" xr3:uid="{D2C31AD6-663A-B940-963F-893B7CB3B637}" name="Column12"/>
    <tableColumn id="13" xr3:uid="{FA0408EC-8F7E-7E44-B046-556A290C8944}" name="Column13"/>
    <tableColumn id="14" xr3:uid="{44340348-41A1-CD45-A3ED-7D7A56A4F7C6}" name="Column14"/>
  </tableColumns>
  <tableStyleInfo name="Jurnal Penyesuaia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4FB3EF-488B-CD4A-886F-264B2E582966}" name="Table_13" displayName="Table_13" ref="A22:N26" headerRowCount="0">
  <tableColumns count="14">
    <tableColumn id="1" xr3:uid="{65DE15BC-E0B8-7B45-9541-08FC466DD915}" name="Column1"/>
    <tableColumn id="2" xr3:uid="{1E610D59-EFEE-A243-9AD5-C52DB1AC11CD}" name="Column2"/>
    <tableColumn id="3" xr3:uid="{9046EFE7-1B9E-8140-AD3C-F856C5856FCE}" name="Column3"/>
    <tableColumn id="4" xr3:uid="{15E7ABE3-6D34-444A-B0B7-F317782D25DB}" name="Column4"/>
    <tableColumn id="5" xr3:uid="{7A3FC9ED-7A36-1A43-8D32-A57D03B6F2E9}" name="Column5"/>
    <tableColumn id="6" xr3:uid="{2AFC3474-1781-4F42-B168-125F0E37B136}" name="Column6"/>
    <tableColumn id="7" xr3:uid="{45760DF3-C6E6-A74B-92B5-B656BA9BDEB9}" name="Column7"/>
    <tableColumn id="8" xr3:uid="{16EB17E4-02F9-F34E-9018-00D04A8C9FDE}" name="Column8"/>
    <tableColumn id="9" xr3:uid="{BC093F69-C93A-524C-A20A-7FD9A9D1481E}" name="Column9"/>
    <tableColumn id="10" xr3:uid="{F00FA8B7-CF0D-3443-A209-30A4864AF8AA}" name="Column10"/>
    <tableColumn id="11" xr3:uid="{95655624-2729-E543-A514-59A9E95BFA3A}" name="Column11"/>
    <tableColumn id="12" xr3:uid="{5109EDDA-0481-524A-A019-4F636D31CDC6}" name="Column12"/>
    <tableColumn id="13" xr3:uid="{BC5C0BD7-7A2F-6848-BDAE-B258B7685058}" name="Column13"/>
    <tableColumn id="14" xr3:uid="{E782860C-30C9-904C-9D7D-57ED4E81126C}" name="Column14"/>
  </tableColumns>
  <tableStyleInfo name="Jurnal Penyesuaian-style 4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364B2-DE06-6C43-9DE5-3B5572D39303}">
  <dimension ref="A1:N31"/>
  <sheetViews>
    <sheetView tabSelected="1" workbookViewId="0">
      <selection sqref="A1:N31"/>
    </sheetView>
  </sheetViews>
  <sheetFormatPr baseColWidth="10" defaultRowHeight="16" x14ac:dyDescent="0.2"/>
  <sheetData>
    <row r="1" spans="1:14" x14ac:dyDescent="0.2">
      <c r="A1" s="1" t="s">
        <v>0</v>
      </c>
      <c r="B1" s="2" t="s">
        <v>1</v>
      </c>
      <c r="C1" s="1"/>
      <c r="D1" s="1"/>
      <c r="E1" s="1"/>
      <c r="F1" s="3"/>
      <c r="G1" s="1"/>
      <c r="H1" s="3"/>
      <c r="I1" s="1"/>
      <c r="J1" s="1"/>
      <c r="K1" s="4"/>
      <c r="L1" s="1"/>
      <c r="M1" s="1"/>
      <c r="N1" s="1"/>
    </row>
    <row r="2" spans="1:14" x14ac:dyDescent="0.2">
      <c r="A2" s="1"/>
      <c r="B2" s="1"/>
      <c r="C2" s="1"/>
      <c r="D2" s="1"/>
      <c r="E2" s="1"/>
      <c r="F2" s="3"/>
      <c r="G2" s="1"/>
      <c r="H2" s="3"/>
      <c r="I2" s="1"/>
      <c r="J2" s="1"/>
      <c r="K2" s="4"/>
      <c r="L2" s="1"/>
      <c r="M2" s="1"/>
      <c r="N2" s="1"/>
    </row>
    <row r="3" spans="1:14" x14ac:dyDescent="0.2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6" t="s">
        <v>8</v>
      </c>
      <c r="H3" s="7" t="s">
        <v>9</v>
      </c>
      <c r="I3" s="6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</row>
    <row r="4" spans="1:14" x14ac:dyDescent="0.2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9">
        <v>3000000</v>
      </c>
      <c r="G4" s="8" t="s">
        <v>21</v>
      </c>
      <c r="H4" s="9">
        <f t="shared" ref="H4:H10" si="0">F4</f>
        <v>3000000</v>
      </c>
      <c r="I4" s="8" t="s">
        <v>15</v>
      </c>
      <c r="J4" s="8" t="s">
        <v>22</v>
      </c>
      <c r="K4" s="10" t="s">
        <v>23</v>
      </c>
      <c r="L4" s="8" t="s">
        <v>22</v>
      </c>
      <c r="M4" s="8" t="s">
        <v>22</v>
      </c>
    </row>
    <row r="5" spans="1:14" x14ac:dyDescent="0.2">
      <c r="A5" s="8" t="s">
        <v>16</v>
      </c>
      <c r="B5" s="8" t="s">
        <v>17</v>
      </c>
      <c r="C5" s="8" t="s">
        <v>18</v>
      </c>
      <c r="D5" s="8" t="s">
        <v>24</v>
      </c>
      <c r="E5" s="8" t="s">
        <v>20</v>
      </c>
      <c r="F5" s="9">
        <v>2000000</v>
      </c>
      <c r="G5" s="8" t="s">
        <v>21</v>
      </c>
      <c r="H5" s="9">
        <f t="shared" si="0"/>
        <v>2000000</v>
      </c>
      <c r="I5" s="8" t="s">
        <v>15</v>
      </c>
      <c r="J5" s="8" t="s">
        <v>22</v>
      </c>
      <c r="K5" s="10" t="s">
        <v>23</v>
      </c>
      <c r="L5" s="8" t="s">
        <v>22</v>
      </c>
      <c r="M5" s="8" t="s">
        <v>22</v>
      </c>
    </row>
    <row r="6" spans="1:14" x14ac:dyDescent="0.2">
      <c r="A6" s="8" t="s">
        <v>16</v>
      </c>
      <c r="B6" s="8" t="s">
        <v>17</v>
      </c>
      <c r="C6" s="8" t="s">
        <v>18</v>
      </c>
      <c r="D6" s="8" t="s">
        <v>25</v>
      </c>
      <c r="E6" s="11" t="s">
        <v>20</v>
      </c>
      <c r="F6" s="9">
        <v>1500000</v>
      </c>
      <c r="G6" s="8" t="s">
        <v>21</v>
      </c>
      <c r="H6" s="9">
        <f t="shared" si="0"/>
        <v>1500000</v>
      </c>
      <c r="I6" s="11" t="s">
        <v>15</v>
      </c>
      <c r="J6" s="8" t="s">
        <v>22</v>
      </c>
      <c r="K6" s="10" t="s">
        <v>23</v>
      </c>
      <c r="L6" s="10" t="s">
        <v>22</v>
      </c>
      <c r="M6" s="8" t="s">
        <v>22</v>
      </c>
    </row>
    <row r="7" spans="1:14" x14ac:dyDescent="0.2">
      <c r="A7" s="12" t="s">
        <v>16</v>
      </c>
      <c r="B7" s="12" t="s">
        <v>17</v>
      </c>
      <c r="C7" s="12" t="s">
        <v>26</v>
      </c>
      <c r="D7" s="12" t="s">
        <v>27</v>
      </c>
      <c r="E7" s="13" t="s">
        <v>28</v>
      </c>
      <c r="F7" s="14">
        <f>'[1]Kartu Aset Tetap'!O15</f>
        <v>208333</v>
      </c>
      <c r="G7" s="12" t="s">
        <v>29</v>
      </c>
      <c r="H7" s="14">
        <f t="shared" si="0"/>
        <v>208333</v>
      </c>
      <c r="I7" s="13" t="s">
        <v>15</v>
      </c>
      <c r="J7" s="12" t="s">
        <v>23</v>
      </c>
      <c r="K7" s="15" t="s">
        <v>22</v>
      </c>
      <c r="L7" s="15" t="s">
        <v>22</v>
      </c>
      <c r="M7" s="12" t="s">
        <v>22</v>
      </c>
      <c r="N7" s="16"/>
    </row>
    <row r="8" spans="1:14" x14ac:dyDescent="0.2">
      <c r="A8" s="12" t="s">
        <v>16</v>
      </c>
      <c r="B8" s="12" t="s">
        <v>17</v>
      </c>
      <c r="C8" s="12" t="s">
        <v>30</v>
      </c>
      <c r="D8" s="12" t="s">
        <v>31</v>
      </c>
      <c r="E8" s="13" t="s">
        <v>28</v>
      </c>
      <c r="F8" s="14">
        <f>'[1]Kartu Aset Tetap'!O13</f>
        <v>177083</v>
      </c>
      <c r="G8" s="12" t="s">
        <v>32</v>
      </c>
      <c r="H8" s="14">
        <f t="shared" si="0"/>
        <v>177083</v>
      </c>
      <c r="I8" s="13" t="s">
        <v>15</v>
      </c>
      <c r="J8" s="12" t="s">
        <v>23</v>
      </c>
      <c r="K8" s="15" t="s">
        <v>22</v>
      </c>
      <c r="L8" s="15" t="s">
        <v>22</v>
      </c>
      <c r="M8" s="12" t="s">
        <v>22</v>
      </c>
      <c r="N8" s="16"/>
    </row>
    <row r="9" spans="1:14" x14ac:dyDescent="0.2">
      <c r="A9" s="12" t="s">
        <v>16</v>
      </c>
      <c r="B9" s="12" t="s">
        <v>17</v>
      </c>
      <c r="C9" s="12" t="s">
        <v>30</v>
      </c>
      <c r="D9" s="12" t="s">
        <v>33</v>
      </c>
      <c r="E9" s="13" t="s">
        <v>28</v>
      </c>
      <c r="F9" s="14">
        <f>'[1]Kartu Aset Tetap'!O16</f>
        <v>125000</v>
      </c>
      <c r="G9" s="12" t="s">
        <v>32</v>
      </c>
      <c r="H9" s="14">
        <f t="shared" si="0"/>
        <v>125000</v>
      </c>
      <c r="I9" s="13" t="s">
        <v>15</v>
      </c>
      <c r="J9" s="12" t="s">
        <v>23</v>
      </c>
      <c r="K9" s="15" t="s">
        <v>22</v>
      </c>
      <c r="L9" s="15" t="s">
        <v>22</v>
      </c>
      <c r="M9" s="12" t="s">
        <v>22</v>
      </c>
      <c r="N9" s="16"/>
    </row>
    <row r="10" spans="1:14" x14ac:dyDescent="0.2">
      <c r="A10" s="17" t="s">
        <v>16</v>
      </c>
      <c r="B10" s="17" t="s">
        <v>17</v>
      </c>
      <c r="C10" s="17" t="s">
        <v>34</v>
      </c>
      <c r="D10" s="17" t="s">
        <v>35</v>
      </c>
      <c r="E10" s="18" t="s">
        <v>36</v>
      </c>
      <c r="F10" s="19">
        <f>'[1]Kartu Persediaan'!I15</f>
        <v>146279.71551071879</v>
      </c>
      <c r="G10" s="17" t="s">
        <v>20</v>
      </c>
      <c r="H10" s="19">
        <f t="shared" si="0"/>
        <v>146279.71551071879</v>
      </c>
      <c r="I10" s="18" t="s">
        <v>15</v>
      </c>
      <c r="J10" s="17" t="s">
        <v>22</v>
      </c>
      <c r="K10" s="20" t="s">
        <v>23</v>
      </c>
      <c r="L10" s="20" t="s">
        <v>22</v>
      </c>
      <c r="M10" s="17" t="s">
        <v>22</v>
      </c>
      <c r="N10" s="21"/>
    </row>
    <row r="11" spans="1:14" x14ac:dyDescent="0.2">
      <c r="A11" s="1"/>
      <c r="B11" s="1"/>
      <c r="C11" s="1"/>
      <c r="D11" s="1"/>
      <c r="E11" s="1"/>
      <c r="F11" s="3"/>
      <c r="G11" s="1"/>
      <c r="H11" s="3"/>
      <c r="I11" s="1"/>
      <c r="J11" s="1"/>
      <c r="K11" s="4"/>
      <c r="L11" s="1"/>
      <c r="M11" s="1"/>
      <c r="N11" s="1"/>
    </row>
    <row r="12" spans="1:14" x14ac:dyDescent="0.2">
      <c r="A12" s="22"/>
      <c r="B12" s="22"/>
      <c r="C12" s="22"/>
      <c r="D12" s="22"/>
      <c r="E12" s="22"/>
      <c r="F12" s="23">
        <f>SUM(F4:F10)</f>
        <v>7156695.7155107185</v>
      </c>
      <c r="G12" s="22"/>
      <c r="H12" s="23">
        <f>SUM(H4:H10)</f>
        <v>7156695.7155107185</v>
      </c>
      <c r="I12" s="22"/>
      <c r="J12" s="22"/>
      <c r="K12" s="22"/>
      <c r="L12" s="22"/>
      <c r="M12" s="22"/>
      <c r="N12" s="22"/>
    </row>
    <row r="13" spans="1:14" x14ac:dyDescent="0.2">
      <c r="A13" s="24" t="s">
        <v>37</v>
      </c>
      <c r="B13" s="25" t="s">
        <v>38</v>
      </c>
      <c r="C13" s="24"/>
      <c r="D13" s="24"/>
      <c r="E13" s="24"/>
      <c r="F13" s="26"/>
      <c r="G13" s="24"/>
      <c r="H13" s="26"/>
      <c r="I13" s="24"/>
      <c r="J13" s="24"/>
      <c r="K13" s="27"/>
      <c r="L13" s="24"/>
      <c r="M13" s="24"/>
      <c r="N13" s="24"/>
    </row>
    <row r="14" spans="1:14" x14ac:dyDescent="0.2">
      <c r="A14" s="1"/>
      <c r="B14" s="1"/>
      <c r="C14" s="1"/>
      <c r="D14" s="1"/>
      <c r="E14" s="1"/>
      <c r="F14" s="3"/>
      <c r="G14" s="1"/>
      <c r="H14" s="3"/>
      <c r="I14" s="1"/>
      <c r="J14" s="1"/>
      <c r="K14" s="4"/>
      <c r="L14" s="1"/>
      <c r="M14" s="1"/>
      <c r="N14" s="1"/>
    </row>
    <row r="15" spans="1:14" x14ac:dyDescent="0.2">
      <c r="A15" s="5" t="s">
        <v>2</v>
      </c>
      <c r="B15" s="6" t="s">
        <v>3</v>
      </c>
      <c r="C15" s="6" t="s">
        <v>4</v>
      </c>
      <c r="D15" s="6" t="s">
        <v>5</v>
      </c>
      <c r="E15" s="6" t="s">
        <v>6</v>
      </c>
      <c r="F15" s="7" t="s">
        <v>7</v>
      </c>
      <c r="G15" s="6" t="s">
        <v>8</v>
      </c>
      <c r="H15" s="7" t="s">
        <v>7</v>
      </c>
      <c r="I15" s="6" t="s">
        <v>10</v>
      </c>
      <c r="J15" s="5" t="s">
        <v>11</v>
      </c>
      <c r="K15" s="5" t="s">
        <v>12</v>
      </c>
      <c r="L15" s="5" t="s">
        <v>13</v>
      </c>
      <c r="M15" s="5" t="s">
        <v>14</v>
      </c>
      <c r="N15" s="5" t="s">
        <v>15</v>
      </c>
    </row>
    <row r="16" spans="1:14" x14ac:dyDescent="0.2">
      <c r="A16" s="8" t="s">
        <v>16</v>
      </c>
      <c r="B16" s="8" t="s">
        <v>39</v>
      </c>
      <c r="C16" s="8" t="s">
        <v>40</v>
      </c>
      <c r="D16" s="8" t="s">
        <v>41</v>
      </c>
      <c r="E16" s="11" t="s">
        <v>42</v>
      </c>
      <c r="F16" s="9">
        <v>0</v>
      </c>
      <c r="G16" s="8" t="s">
        <v>43</v>
      </c>
      <c r="H16" s="9">
        <f t="shared" ref="H16:H19" si="1">F16</f>
        <v>0</v>
      </c>
      <c r="I16" s="11" t="s">
        <v>15</v>
      </c>
      <c r="J16" s="8" t="s">
        <v>22</v>
      </c>
      <c r="K16" s="10" t="s">
        <v>22</v>
      </c>
      <c r="L16" s="10" t="s">
        <v>22</v>
      </c>
      <c r="M16" s="8" t="s">
        <v>22</v>
      </c>
    </row>
    <row r="17" spans="1:14" x14ac:dyDescent="0.2">
      <c r="A17" s="8" t="s">
        <v>16</v>
      </c>
      <c r="B17" s="8" t="s">
        <v>39</v>
      </c>
      <c r="C17" s="8" t="s">
        <v>40</v>
      </c>
      <c r="D17" s="8" t="s">
        <v>41</v>
      </c>
      <c r="E17" s="8" t="s">
        <v>42</v>
      </c>
      <c r="F17" s="9">
        <v>0</v>
      </c>
      <c r="G17" s="8" t="s">
        <v>43</v>
      </c>
      <c r="H17" s="9">
        <f t="shared" si="1"/>
        <v>0</v>
      </c>
      <c r="I17" s="8" t="s">
        <v>15</v>
      </c>
      <c r="J17" s="8" t="s">
        <v>22</v>
      </c>
      <c r="K17" s="10" t="s">
        <v>22</v>
      </c>
      <c r="L17" s="8" t="s">
        <v>22</v>
      </c>
      <c r="M17" s="8" t="s">
        <v>22</v>
      </c>
    </row>
    <row r="18" spans="1:14" x14ac:dyDescent="0.2">
      <c r="A18" s="8" t="s">
        <v>16</v>
      </c>
      <c r="B18" s="8" t="s">
        <v>39</v>
      </c>
      <c r="C18" s="8" t="s">
        <v>44</v>
      </c>
      <c r="D18" s="8" t="s">
        <v>45</v>
      </c>
      <c r="E18" s="8" t="s">
        <v>46</v>
      </c>
      <c r="F18" s="9">
        <v>225000</v>
      </c>
      <c r="G18" s="8" t="s">
        <v>47</v>
      </c>
      <c r="H18" s="9">
        <f t="shared" si="1"/>
        <v>225000</v>
      </c>
      <c r="I18" s="8" t="s">
        <v>15</v>
      </c>
      <c r="J18" s="8" t="s">
        <v>22</v>
      </c>
      <c r="K18" s="10" t="s">
        <v>22</v>
      </c>
      <c r="L18" s="8" t="s">
        <v>22</v>
      </c>
      <c r="M18" s="8" t="s">
        <v>22</v>
      </c>
    </row>
    <row r="19" spans="1:14" x14ac:dyDescent="0.2">
      <c r="A19" s="8" t="s">
        <v>16</v>
      </c>
      <c r="B19" s="8" t="s">
        <v>39</v>
      </c>
      <c r="C19" s="8" t="s">
        <v>44</v>
      </c>
      <c r="D19" s="8" t="s">
        <v>45</v>
      </c>
      <c r="E19" s="8" t="s">
        <v>46</v>
      </c>
      <c r="F19" s="9">
        <v>175000</v>
      </c>
      <c r="G19" s="8" t="s">
        <v>47</v>
      </c>
      <c r="H19" s="9">
        <f t="shared" si="1"/>
        <v>175000</v>
      </c>
      <c r="I19" s="11" t="s">
        <v>15</v>
      </c>
      <c r="J19" s="11" t="s">
        <v>22</v>
      </c>
      <c r="K19" s="8" t="s">
        <v>22</v>
      </c>
      <c r="L19" s="28" t="s">
        <v>22</v>
      </c>
      <c r="M19" s="10" t="s">
        <v>22</v>
      </c>
    </row>
    <row r="20" spans="1:14" x14ac:dyDescent="0.2">
      <c r="A20" s="17" t="s">
        <v>16</v>
      </c>
      <c r="B20" s="17" t="s">
        <v>39</v>
      </c>
      <c r="C20" s="17" t="s">
        <v>48</v>
      </c>
      <c r="D20" s="17" t="s">
        <v>49</v>
      </c>
      <c r="E20" s="17" t="s">
        <v>50</v>
      </c>
      <c r="F20" s="19">
        <f>'[1]Kartu Persediaan'!F41</f>
        <v>680000</v>
      </c>
      <c r="G20" s="18" t="s">
        <v>51</v>
      </c>
      <c r="H20" s="29">
        <v>680000</v>
      </c>
      <c r="I20" s="18" t="s">
        <v>15</v>
      </c>
      <c r="J20" s="18" t="s">
        <v>22</v>
      </c>
      <c r="K20" s="17" t="s">
        <v>23</v>
      </c>
      <c r="L20" s="30" t="s">
        <v>22</v>
      </c>
      <c r="M20" s="20" t="s">
        <v>22</v>
      </c>
      <c r="N20" s="21"/>
    </row>
    <row r="21" spans="1:14" x14ac:dyDescent="0.2">
      <c r="A21" s="17" t="s">
        <v>16</v>
      </c>
      <c r="B21" s="17" t="s">
        <v>39</v>
      </c>
      <c r="C21" s="17" t="s">
        <v>48</v>
      </c>
      <c r="D21" s="17" t="s">
        <v>52</v>
      </c>
      <c r="E21" s="17" t="s">
        <v>50</v>
      </c>
      <c r="F21" s="19">
        <f>'[1]Kartu Persediaan'!F51</f>
        <v>310000</v>
      </c>
      <c r="G21" s="18" t="s">
        <v>51</v>
      </c>
      <c r="H21" s="29">
        <v>310000</v>
      </c>
      <c r="I21" s="18" t="s">
        <v>15</v>
      </c>
      <c r="J21" s="18" t="s">
        <v>22</v>
      </c>
      <c r="K21" s="17" t="s">
        <v>23</v>
      </c>
      <c r="L21" s="30" t="s">
        <v>22</v>
      </c>
      <c r="M21" s="20" t="s">
        <v>22</v>
      </c>
      <c r="N21" s="21"/>
    </row>
    <row r="22" spans="1:14" x14ac:dyDescent="0.2">
      <c r="A22" s="31"/>
      <c r="B22" s="32"/>
      <c r="C22" s="33"/>
      <c r="D22" s="33"/>
      <c r="E22" s="33"/>
      <c r="F22" s="34"/>
      <c r="G22" s="33"/>
      <c r="H22" s="34"/>
      <c r="I22" s="33"/>
      <c r="J22" s="33"/>
      <c r="K22" s="33"/>
      <c r="L22" s="31"/>
      <c r="M22" s="31"/>
      <c r="N22" s="31"/>
    </row>
    <row r="23" spans="1:14" x14ac:dyDescent="0.2">
      <c r="A23" s="35"/>
      <c r="F23" s="36"/>
      <c r="H23" s="36"/>
    </row>
    <row r="24" spans="1:14" x14ac:dyDescent="0.2">
      <c r="A24" s="1" t="s">
        <v>53</v>
      </c>
      <c r="B24" s="2" t="s">
        <v>54</v>
      </c>
      <c r="C24" s="1"/>
      <c r="D24" s="1"/>
      <c r="E24" s="1"/>
      <c r="F24" s="3"/>
      <c r="G24" s="1"/>
      <c r="H24" s="3"/>
      <c r="I24" s="1"/>
      <c r="J24" s="1"/>
      <c r="K24" s="4"/>
      <c r="L24" s="1"/>
      <c r="M24" s="1"/>
      <c r="N24" s="1"/>
    </row>
    <row r="25" spans="1:14" x14ac:dyDescent="0.2">
      <c r="A25" s="1"/>
      <c r="B25" s="1"/>
      <c r="C25" s="1"/>
      <c r="D25" s="1"/>
      <c r="E25" s="1"/>
      <c r="F25" s="3"/>
      <c r="G25" s="1"/>
      <c r="H25" s="3"/>
      <c r="I25" s="1"/>
      <c r="J25" s="1"/>
      <c r="K25" s="4"/>
      <c r="L25" s="1"/>
      <c r="M25" s="1"/>
      <c r="N25" s="1"/>
    </row>
    <row r="26" spans="1:14" x14ac:dyDescent="0.2">
      <c r="A26" s="5" t="s">
        <v>2</v>
      </c>
      <c r="B26" s="6" t="s">
        <v>3</v>
      </c>
      <c r="C26" s="6" t="s">
        <v>4</v>
      </c>
      <c r="D26" s="6" t="s">
        <v>5</v>
      </c>
      <c r="E26" s="6" t="s">
        <v>6</v>
      </c>
      <c r="F26" s="7" t="s">
        <v>7</v>
      </c>
      <c r="G26" s="6" t="s">
        <v>8</v>
      </c>
      <c r="H26" s="7" t="s">
        <v>7</v>
      </c>
      <c r="I26" s="6" t="s">
        <v>10</v>
      </c>
      <c r="J26" s="5" t="s">
        <v>11</v>
      </c>
      <c r="K26" s="5" t="s">
        <v>12</v>
      </c>
      <c r="L26" s="5" t="s">
        <v>13</v>
      </c>
      <c r="M26" s="5" t="s">
        <v>14</v>
      </c>
      <c r="N26" s="5" t="s">
        <v>15</v>
      </c>
    </row>
    <row r="27" spans="1:14" x14ac:dyDescent="0.2">
      <c r="A27" s="8" t="s">
        <v>16</v>
      </c>
      <c r="B27" s="8" t="s">
        <v>55</v>
      </c>
      <c r="C27" s="8" t="s">
        <v>56</v>
      </c>
      <c r="D27" s="8" t="s">
        <v>57</v>
      </c>
      <c r="E27" s="8" t="s">
        <v>42</v>
      </c>
      <c r="F27" s="9">
        <v>0</v>
      </c>
      <c r="G27" s="11" t="s">
        <v>58</v>
      </c>
      <c r="H27" s="37">
        <v>0</v>
      </c>
      <c r="I27" s="11" t="s">
        <v>15</v>
      </c>
      <c r="J27" s="11" t="s">
        <v>22</v>
      </c>
      <c r="K27" s="8" t="s">
        <v>22</v>
      </c>
      <c r="L27" s="28" t="s">
        <v>22</v>
      </c>
      <c r="M27" s="10" t="s">
        <v>22</v>
      </c>
    </row>
    <row r="28" spans="1:14" x14ac:dyDescent="0.2">
      <c r="A28" s="8" t="s">
        <v>16</v>
      </c>
      <c r="B28" s="8" t="s">
        <v>55</v>
      </c>
      <c r="C28" s="8" t="s">
        <v>56</v>
      </c>
      <c r="D28" s="8" t="s">
        <v>59</v>
      </c>
      <c r="E28" s="8" t="s">
        <v>42</v>
      </c>
      <c r="F28" s="9">
        <v>0</v>
      </c>
      <c r="G28" s="8" t="s">
        <v>58</v>
      </c>
      <c r="H28" s="9">
        <v>0</v>
      </c>
      <c r="I28" s="8" t="s">
        <v>15</v>
      </c>
      <c r="J28" s="8" t="s">
        <v>22</v>
      </c>
      <c r="K28" s="10" t="s">
        <v>22</v>
      </c>
      <c r="L28" s="8" t="s">
        <v>22</v>
      </c>
      <c r="M28" s="8" t="s">
        <v>22</v>
      </c>
    </row>
    <row r="29" spans="1:14" x14ac:dyDescent="0.2">
      <c r="A29" s="8" t="s">
        <v>16</v>
      </c>
      <c r="B29" s="8" t="s">
        <v>55</v>
      </c>
      <c r="C29" s="8" t="s">
        <v>60</v>
      </c>
      <c r="D29" s="8" t="s">
        <v>61</v>
      </c>
      <c r="E29" s="8" t="s">
        <v>62</v>
      </c>
      <c r="F29" s="9">
        <v>150000</v>
      </c>
      <c r="G29" s="8" t="s">
        <v>63</v>
      </c>
      <c r="H29" s="9">
        <v>150000</v>
      </c>
      <c r="I29" s="8" t="s">
        <v>15</v>
      </c>
      <c r="J29" s="8" t="s">
        <v>22</v>
      </c>
      <c r="K29" s="10" t="s">
        <v>22</v>
      </c>
      <c r="L29" s="8" t="s">
        <v>22</v>
      </c>
      <c r="M29" s="8" t="s">
        <v>22</v>
      </c>
    </row>
    <row r="30" spans="1:14" x14ac:dyDescent="0.2">
      <c r="A30" s="8" t="s">
        <v>16</v>
      </c>
      <c r="B30" s="8" t="s">
        <v>55</v>
      </c>
      <c r="C30" s="8" t="s">
        <v>60</v>
      </c>
      <c r="D30" s="8" t="s">
        <v>64</v>
      </c>
      <c r="E30" s="8" t="s">
        <v>62</v>
      </c>
      <c r="F30" s="9">
        <v>100000</v>
      </c>
      <c r="G30" s="8" t="s">
        <v>63</v>
      </c>
      <c r="H30" s="9">
        <v>100000</v>
      </c>
      <c r="I30" s="8" t="s">
        <v>15</v>
      </c>
      <c r="J30" s="8" t="s">
        <v>22</v>
      </c>
      <c r="K30" s="10" t="s">
        <v>22</v>
      </c>
      <c r="L30" s="8" t="s">
        <v>22</v>
      </c>
      <c r="M30" s="8" t="s">
        <v>22</v>
      </c>
    </row>
    <row r="31" spans="1:14" x14ac:dyDescent="0.2">
      <c r="A31" s="8" t="s">
        <v>16</v>
      </c>
      <c r="B31" s="8" t="s">
        <v>55</v>
      </c>
      <c r="C31" s="8" t="s">
        <v>65</v>
      </c>
      <c r="D31" s="8" t="s">
        <v>66</v>
      </c>
      <c r="E31" s="8" t="s">
        <v>67</v>
      </c>
      <c r="F31" s="9">
        <v>500000</v>
      </c>
      <c r="G31" s="8" t="s">
        <v>68</v>
      </c>
      <c r="H31" s="9">
        <v>500000</v>
      </c>
      <c r="I31" s="8" t="s">
        <v>15</v>
      </c>
      <c r="J31" s="8" t="s">
        <v>22</v>
      </c>
      <c r="K31" s="10" t="s">
        <v>22</v>
      </c>
      <c r="L31" s="8" t="s">
        <v>22</v>
      </c>
      <c r="M31" s="8" t="s">
        <v>22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affandi</dc:creator>
  <cp:lastModifiedBy>luqman affandi</cp:lastModifiedBy>
  <dcterms:created xsi:type="dcterms:W3CDTF">2026-06-16T09:13:44Z</dcterms:created>
  <dcterms:modified xsi:type="dcterms:W3CDTF">2026-06-16T09:13:52Z</dcterms:modified>
</cp:coreProperties>
</file>