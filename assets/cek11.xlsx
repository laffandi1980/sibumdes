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qmanaffandi/Desktop/"/>
    </mc:Choice>
  </mc:AlternateContent>
  <xr:revisionPtr revIDLastSave="0" documentId="8_{B9286568-B3D6-714F-A3F5-68F0CDD53B61}" xr6:coauthVersionLast="47" xr6:coauthVersionMax="47" xr10:uidLastSave="{00000000-0000-0000-0000-000000000000}"/>
  <bookViews>
    <workbookView xWindow="0" yWindow="0" windowWidth="28800" windowHeight="18000" xr2:uid="{C8D4B9A7-4A0F-D64E-BE7F-5BF76348188D}"/>
  </bookViews>
  <sheets>
    <sheet name="Sheet1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/>
  <c r="D19" i="1"/>
  <c r="D14" i="1"/>
  <c r="D15" i="1" s="1"/>
  <c r="D11" i="1"/>
  <c r="D10" i="1"/>
  <c r="D9" i="1"/>
  <c r="D8" i="1"/>
  <c r="D12" i="1" l="1"/>
  <c r="D16" i="1" s="1"/>
  <c r="D21" i="1"/>
  <c r="D23" i="1" l="1"/>
  <c r="D24" i="1" s="1"/>
  <c r="D25" i="1" s="1"/>
</calcChain>
</file>

<file path=xl/sharedStrings.xml><?xml version="1.0" encoding="utf-8"?>
<sst xmlns="http://schemas.openxmlformats.org/spreadsheetml/2006/main" count="22" uniqueCount="22">
  <si>
    <t>BUMDES MAJU SEJAHTERA MANDIRI</t>
  </si>
  <si>
    <t>Aset Lancar</t>
  </si>
  <si>
    <t>Kas dan Setara Kas</t>
  </si>
  <si>
    <t>Piutang Usaha</t>
  </si>
  <si>
    <t>Persediaan</t>
  </si>
  <si>
    <t>KEWAJIBAN</t>
  </si>
  <si>
    <t>EKUITAS</t>
  </si>
  <si>
    <t>Ekuitas Akhir</t>
  </si>
  <si>
    <t>LAPORAN POSISI KEUANGAN (NERACA)</t>
  </si>
  <si>
    <t>PER 31 JANUARI 2026</t>
  </si>
  <si>
    <t>Aset</t>
  </si>
  <si>
    <t>Perlengkapan dan Biaya Dibayar di Muka</t>
  </si>
  <si>
    <t>Total Aset Lancar</t>
  </si>
  <si>
    <t>Aset Tidak Lancar</t>
  </si>
  <si>
    <t>Aset Tetap, Investasi, dan Aset Lainnya</t>
  </si>
  <si>
    <t>Total Aset Tidak Lancar</t>
  </si>
  <si>
    <t>TOTAL ASET</t>
  </si>
  <si>
    <t>Utang Jangka Pendek</t>
  </si>
  <si>
    <t>Utang Jangka Panjang</t>
  </si>
  <si>
    <t>TOTAL KEWAJIBAN</t>
  </si>
  <si>
    <t>TOTAL KEWAJIBAN DAN EKUITAS</t>
  </si>
  <si>
    <t>SELISIH (TOTAL ASET - KEWAJIBAN &amp; EKUITAS)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</si>
</sst>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(&quot;Rp&quot;* #,##0_);_(&quot;Rp&quot;* \(#,##0\);_(&quot;Rp&quot;* &quot;-&quot;_);_(@_)"/>
    <numFmt numFmtId="41" formatCode="_(* #,##0_);_(* \(#,##0\);_(* &quot;-&quot;_);_(@_)"/>
    <numFmt numFmtId="164" formatCode="#,##0;[Red]\(#,##0\);\-"/>
  </numFmts>
  <fonts count="7" x14ac:knownFonts="1"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74E3C"/>
        <bgColor rgb="FF174E3C"/>
      </patternFill>
    </fill>
    <fill>
      <patternFill patternType="solid">
        <fgColor rgb="FFE8F5E9"/>
        <bgColor rgb="FF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/>
    <xf numFmtId="164" fontId="4" fillId="3" borderId="0" xfId="0" applyNumberFormat="1" applyFont="1" applyFill="1" applyAlignment="1">
      <alignment horizontal="right" wrapText="1"/>
    </xf>
    <xf numFmtId="0" fontId="2" fillId="0" borderId="0" xfId="0" applyFont="1"/>
    <xf numFmtId="0" fontId="3" fillId="2" borderId="0" xfId="0" applyFont="1" applyFill="1" applyAlignment="1">
      <alignment horizontal="center" wrapText="1"/>
    </xf>
    <xf numFmtId="0" fontId="2" fillId="0" borderId="0" xfId="0" applyFont="1"/>
    <xf numFmtId="0" fontId="2" fillId="0" borderId="0" xfId="0" applyFont="1" applyAlignment="1">
      <alignment wrapText="1"/>
    </xf>
    <xf numFmtId="164" fontId="2" fillId="0" borderId="0" xfId="0" applyNumberFormat="1" applyFont="1" applyAlignment="1">
      <alignment horizontal="right" wrapText="1"/>
    </xf>
    <xf numFmtId="0" fontId="2" fillId="3" borderId="0" xfId="0" applyFont="1" applyFill="1"/>
    <xf numFmtId="0" fontId="4" fillId="3" borderId="0" xfId="0" applyFont="1" applyFill="1" applyAlignment="1">
      <alignment wrapText="1"/>
    </xf>
    <xf numFmtId="164" fontId="2" fillId="0" borderId="0" xfId="0" applyNumberFormat="1" applyFont="1"/>
    <xf numFmtId="164" fontId="2" fillId="3" borderId="0" xfId="0" applyNumberFormat="1" applyFont="1" applyFill="1"/>
    <xf numFmtId="164" fontId="5" fillId="0" borderId="0" xfId="0" applyNumberFormat="1" applyFont="1" applyAlignment="1">
      <alignment horizontal="right" wrapText="1"/>
    </xf>
    <xf numFmtId="164" fontId="6" fillId="3" borderId="0" xfId="0" applyNumberFormat="1" applyFont="1" applyFill="1" applyAlignment="1">
      <alignment horizontal="right" wrapText="1"/>
    </xf>
    <xf numFmtId="0" fontId="4" fillId="3" borderId="0" xfId="0" applyFont="1" applyFill="1" applyAlignment="1">
      <alignment horizontal="right"/>
    </xf>
    <xf numFmtId="0" fontId="4" fillId="3" borderId="0" xfId="0" applyFont="1" applyFill="1" applyAlignment="1">
      <alignment horizontal="left"/>
    </xf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  <xf numFmtId="41" fontId="2" fillId="0" borderId="0" xfId="0" applyNumberFormat="1" applyFont="1"/>
    <xf numFmtId="0" fontId="4" fillId="3" borderId="0" xfId="0" applyFont="1" applyFill="1"/>
    <xf numFmtId="41" fontId="2" fillId="3" borderId="0" xfId="0" applyNumberFormat="1" applyFont="1" applyFill="1"/>
    <xf numFmtId="164" fontId="4" fillId="3" borderId="0" xfId="0" applyNumberFormat="1" applyFont="1" applyFill="1" applyAlignment="1">
      <alignment horizontal="right"/>
    </xf>
    <xf numFmtId="42" fontId="2" fillId="3" borderId="0" xfId="0" applyNumberFormat="1" applyFont="1" applyFill="1"/>
    <xf numFmtId="4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ownloads/Simulasi%20BUDAYA%2001%20(1).xlsx" TargetMode="External"/><Relationship Id="rId2" Type="http://schemas.openxmlformats.org/officeDocument/2006/relationships/externalLinkPath" Target="/Users/luqmanaffandi/Downloads/Simulasi%20BUDAYA%2001%20(1).xlsx" TargetMode="External"/><Relationship Id="rId1" Type="http://schemas.openxmlformats.org/officeDocument/2006/relationships/externalLinkPath" Target="/Users/luqmanaffandi/Downloads/Simulasi%20BUDAYA%2001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shboard Menu"/>
      <sheetName val="Profil BUMDes"/>
      <sheetName val="Hak Akses"/>
      <sheetName val="Master Data"/>
      <sheetName val="CoA"/>
      <sheetName val="Mapping Transaksi Rutin"/>
      <sheetName val="Mapping Transaksi Non Rutin"/>
      <sheetName val="Mapping Transaksi Lainnya"/>
      <sheetName val="Mapping Jurnal Penyesuaian"/>
      <sheetName val="Saldo Awal"/>
      <sheetName val="Input Transaksi"/>
      <sheetName val="Jurnal"/>
      <sheetName val="Buku Pembantu - Piutang"/>
      <sheetName val="Buku Pembantu - Utang"/>
      <sheetName val="Kartu Persediaan"/>
      <sheetName val="Kartu Aset Tetap"/>
      <sheetName val="Jurnal Penyesuaian"/>
      <sheetName val="Histori Akun"/>
      <sheetName val="Neraca Saldo Setelah Disesuaika"/>
      <sheetName val="Lap Laba Rugi"/>
      <sheetName val="Laporan Penyertaan Modal"/>
      <sheetName val="Laporan Perubahan Modal"/>
      <sheetName val="Neraca"/>
      <sheetName val="Laporan Arus Kas"/>
      <sheetName val="Rasio Keuangan"/>
      <sheetName val="BMC- Analisa Kelayakan Usah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9">
          <cell r="D9">
            <v>35275000</v>
          </cell>
          <cell r="E9">
            <v>0</v>
          </cell>
        </row>
        <row r="10">
          <cell r="D10">
            <v>0</v>
          </cell>
          <cell r="E10">
            <v>0</v>
          </cell>
        </row>
        <row r="11">
          <cell r="D11">
            <v>243765000</v>
          </cell>
          <cell r="E11">
            <v>0</v>
          </cell>
        </row>
        <row r="12">
          <cell r="D12">
            <v>97000000</v>
          </cell>
          <cell r="E12">
            <v>0</v>
          </cell>
        </row>
        <row r="13">
          <cell r="D13">
            <v>75000000</v>
          </cell>
          <cell r="E13">
            <v>0</v>
          </cell>
        </row>
        <row r="14">
          <cell r="D14">
            <v>0</v>
          </cell>
          <cell r="E14">
            <v>0</v>
          </cell>
        </row>
        <row r="15">
          <cell r="D15">
            <v>930000</v>
          </cell>
          <cell r="E15">
            <v>0</v>
          </cell>
        </row>
        <row r="16">
          <cell r="D16">
            <v>0</v>
          </cell>
          <cell r="E16">
            <v>0</v>
          </cell>
        </row>
        <row r="17">
          <cell r="D17">
            <v>0</v>
          </cell>
          <cell r="E17">
            <v>0</v>
          </cell>
        </row>
        <row r="18">
          <cell r="D18">
            <v>7830000</v>
          </cell>
          <cell r="E18">
            <v>0</v>
          </cell>
        </row>
        <row r="19">
          <cell r="D19">
            <v>2300439.2000000002</v>
          </cell>
          <cell r="E19">
            <v>0</v>
          </cell>
        </row>
        <row r="20">
          <cell r="D20">
            <v>0</v>
          </cell>
          <cell r="E20">
            <v>0</v>
          </cell>
        </row>
        <row r="21">
          <cell r="D21">
            <v>0</v>
          </cell>
          <cell r="E21">
            <v>0</v>
          </cell>
        </row>
        <row r="22">
          <cell r="D22">
            <v>2735000</v>
          </cell>
          <cell r="E22">
            <v>0</v>
          </cell>
        </row>
        <row r="23">
          <cell r="D23">
            <v>0</v>
          </cell>
          <cell r="E23">
            <v>500000</v>
          </cell>
        </row>
        <row r="24">
          <cell r="D24">
            <v>0</v>
          </cell>
          <cell r="E24">
            <v>0</v>
          </cell>
        </row>
        <row r="25">
          <cell r="D25">
            <v>0</v>
          </cell>
          <cell r="E25">
            <v>0</v>
          </cell>
        </row>
        <row r="26">
          <cell r="D26">
            <v>0</v>
          </cell>
          <cell r="E26">
            <v>0</v>
          </cell>
        </row>
        <row r="27">
          <cell r="D27">
            <v>155000000</v>
          </cell>
          <cell r="E27">
            <v>0</v>
          </cell>
        </row>
        <row r="28">
          <cell r="D28">
            <v>169000000</v>
          </cell>
          <cell r="E28">
            <v>0</v>
          </cell>
        </row>
        <row r="29">
          <cell r="D29">
            <v>94750000</v>
          </cell>
          <cell r="E29">
            <v>0</v>
          </cell>
        </row>
        <row r="30">
          <cell r="D30">
            <v>0</v>
          </cell>
          <cell r="E30">
            <v>11000000</v>
          </cell>
        </row>
        <row r="31">
          <cell r="D31">
            <v>0</v>
          </cell>
          <cell r="E31">
            <v>0</v>
          </cell>
        </row>
        <row r="32">
          <cell r="D32">
            <v>0</v>
          </cell>
          <cell r="E32">
            <v>0</v>
          </cell>
        </row>
        <row r="33">
          <cell r="D33">
            <v>2716667</v>
          </cell>
          <cell r="E33">
            <v>0</v>
          </cell>
        </row>
        <row r="34">
          <cell r="D34">
            <v>0</v>
          </cell>
          <cell r="E34">
            <v>0</v>
          </cell>
        </row>
        <row r="35">
          <cell r="D35">
            <v>1251</v>
          </cell>
          <cell r="E35">
            <v>0</v>
          </cell>
        </row>
        <row r="36">
          <cell r="D36">
            <v>650000</v>
          </cell>
          <cell r="E36">
            <v>0</v>
          </cell>
        </row>
        <row r="37">
          <cell r="D37">
            <v>0</v>
          </cell>
          <cell r="E37">
            <v>0</v>
          </cell>
        </row>
        <row r="38">
          <cell r="D38">
            <v>0</v>
          </cell>
          <cell r="E38">
            <v>0</v>
          </cell>
        </row>
        <row r="39">
          <cell r="D39">
            <v>8000000</v>
          </cell>
          <cell r="E39">
            <v>0</v>
          </cell>
        </row>
        <row r="40">
          <cell r="D40">
            <v>0</v>
          </cell>
          <cell r="E40">
            <v>0</v>
          </cell>
        </row>
        <row r="41">
          <cell r="D41">
            <v>0</v>
          </cell>
          <cell r="E41">
            <v>0</v>
          </cell>
        </row>
        <row r="43">
          <cell r="D43">
            <v>0</v>
          </cell>
          <cell r="E43">
            <v>2100000</v>
          </cell>
        </row>
        <row r="44">
          <cell r="D44">
            <v>0</v>
          </cell>
          <cell r="E44">
            <v>0</v>
          </cell>
        </row>
        <row r="45">
          <cell r="D45">
            <v>0</v>
          </cell>
          <cell r="E45">
            <v>0</v>
          </cell>
        </row>
        <row r="46">
          <cell r="D46">
            <v>0</v>
          </cell>
          <cell r="E46">
            <v>0</v>
          </cell>
        </row>
        <row r="47">
          <cell r="D47">
            <v>0</v>
          </cell>
          <cell r="E47">
            <v>0</v>
          </cell>
        </row>
        <row r="48">
          <cell r="D48">
            <v>0</v>
          </cell>
          <cell r="E48">
            <v>0</v>
          </cell>
        </row>
        <row r="49">
          <cell r="D49">
            <v>0</v>
          </cell>
          <cell r="E49">
            <v>20000000</v>
          </cell>
        </row>
        <row r="50">
          <cell r="D50">
            <v>0</v>
          </cell>
          <cell r="E50">
            <v>0</v>
          </cell>
        </row>
        <row r="51">
          <cell r="D51">
            <v>0</v>
          </cell>
          <cell r="E51">
            <v>0</v>
          </cell>
        </row>
      </sheetData>
      <sheetData sheetId="19"/>
      <sheetData sheetId="20"/>
      <sheetData sheetId="21">
        <row r="20">
          <cell r="D20">
            <v>861353357.20000005</v>
          </cell>
        </row>
      </sheetData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86F05-507A-7147-9949-53927CF2C8CF}">
  <dimension ref="A1:D52"/>
  <sheetViews>
    <sheetView tabSelected="1" workbookViewId="0">
      <selection activeCell="H13" sqref="H13"/>
    </sheetView>
  </sheetViews>
  <sheetFormatPr baseColWidth="10" defaultRowHeight="16" x14ac:dyDescent="0.2"/>
  <sheetData>
    <row r="1" spans="1:4" x14ac:dyDescent="0.2">
      <c r="A1" s="1" t="s">
        <v>0</v>
      </c>
      <c r="B1" s="2"/>
      <c r="C1" s="2"/>
      <c r="D1" s="2"/>
    </row>
    <row r="2" spans="1:4" x14ac:dyDescent="0.2">
      <c r="A2" s="1" t="s">
        <v>8</v>
      </c>
      <c r="B2" s="2"/>
      <c r="C2" s="2"/>
      <c r="D2" s="2"/>
    </row>
    <row r="3" spans="1:4" x14ac:dyDescent="0.2">
      <c r="A3" s="1" t="s">
        <v>9</v>
      </c>
      <c r="B3" s="2"/>
      <c r="C3" s="2"/>
      <c r="D3" s="2"/>
    </row>
    <row r="4" spans="1:4" x14ac:dyDescent="0.2">
      <c r="A4" s="4"/>
      <c r="B4" s="2"/>
      <c r="C4" s="2"/>
      <c r="D4" s="2"/>
    </row>
    <row r="5" spans="1:4" x14ac:dyDescent="0.2">
      <c r="A5" s="5"/>
      <c r="B5" s="2"/>
      <c r="C5" s="2"/>
      <c r="D5" s="2"/>
    </row>
    <row r="6" spans="1:4" x14ac:dyDescent="0.2">
      <c r="A6" s="15">
        <v>1</v>
      </c>
      <c r="B6" s="16" t="s">
        <v>10</v>
      </c>
      <c r="C6" s="15"/>
      <c r="D6" s="15"/>
    </row>
    <row r="7" spans="1:4" x14ac:dyDescent="0.2">
      <c r="A7" s="15">
        <v>2</v>
      </c>
      <c r="B7" s="16" t="s">
        <v>1</v>
      </c>
      <c r="C7" s="15"/>
      <c r="D7" s="15"/>
    </row>
    <row r="8" spans="1:4" x14ac:dyDescent="0.2">
      <c r="A8" s="17">
        <v>3</v>
      </c>
      <c r="B8" s="6" t="s">
        <v>2</v>
      </c>
      <c r="C8" s="6"/>
      <c r="D8" s="18">
        <f>SUM('[1]Neraca Saldo Setelah Disesuaika'!D9:D13)-SUM('[1]Neraca Saldo Setelah Disesuaika'!E9:E13)</f>
        <v>451040000</v>
      </c>
    </row>
    <row r="9" spans="1:4" x14ac:dyDescent="0.2">
      <c r="A9" s="17">
        <v>4</v>
      </c>
      <c r="B9" s="6" t="s">
        <v>3</v>
      </c>
      <c r="C9" s="6"/>
      <c r="D9" s="18">
        <f>SUM('[1]Neraca Saldo Setelah Disesuaika'!D14:D16)-SUM('[1]Neraca Saldo Setelah Disesuaika'!E14:E16)</f>
        <v>930000</v>
      </c>
    </row>
    <row r="10" spans="1:4" x14ac:dyDescent="0.2">
      <c r="A10" s="17">
        <v>5</v>
      </c>
      <c r="B10" s="6" t="s">
        <v>4</v>
      </c>
      <c r="C10" s="6"/>
      <c r="D10" s="18">
        <f>SUM('[1]Neraca Saldo Setelah Disesuaika'!D17:D20)-SUM('[1]Neraca Saldo Setelah Disesuaika'!E17:E20)</f>
        <v>10130439.199999999</v>
      </c>
    </row>
    <row r="11" spans="1:4" x14ac:dyDescent="0.2">
      <c r="A11" s="17">
        <v>6</v>
      </c>
      <c r="B11" s="6" t="s">
        <v>11</v>
      </c>
      <c r="C11" s="19"/>
      <c r="D11" s="18">
        <f>SUM('[1]Neraca Saldo Setelah Disesuaika'!D21:D24)-SUM('[1]Neraca Saldo Setelah Disesuaika'!E21:E24)</f>
        <v>2235000</v>
      </c>
    </row>
    <row r="12" spans="1:4" x14ac:dyDescent="0.2">
      <c r="A12" s="15">
        <v>7</v>
      </c>
      <c r="B12" s="20" t="s">
        <v>12</v>
      </c>
      <c r="C12" s="21"/>
      <c r="D12" s="22">
        <f>SUM(D8:D11)</f>
        <v>464335439.19999999</v>
      </c>
    </row>
    <row r="13" spans="1:4" x14ac:dyDescent="0.2">
      <c r="A13" s="15">
        <v>8</v>
      </c>
      <c r="B13" s="20" t="s">
        <v>13</v>
      </c>
      <c r="C13" s="23"/>
      <c r="D13" s="12"/>
    </row>
    <row r="14" spans="1:4" x14ac:dyDescent="0.2">
      <c r="A14" s="17">
        <v>9</v>
      </c>
      <c r="B14" s="6" t="s">
        <v>14</v>
      </c>
      <c r="C14" s="24"/>
      <c r="D14" s="18">
        <f>SUM('[1]Neraca Saldo Setelah Disesuaika'!D25:D41)-SUM('[1]Neraca Saldo Setelah Disesuaika'!E25:E41)</f>
        <v>419117918</v>
      </c>
    </row>
    <row r="15" spans="1:4" x14ac:dyDescent="0.2">
      <c r="A15" s="15">
        <v>10</v>
      </c>
      <c r="B15" s="20" t="s">
        <v>15</v>
      </c>
      <c r="C15" s="23"/>
      <c r="D15" s="22">
        <f>D14</f>
        <v>419117918</v>
      </c>
    </row>
    <row r="16" spans="1:4" x14ac:dyDescent="0.2">
      <c r="A16" s="15">
        <v>11</v>
      </c>
      <c r="B16" s="20" t="s">
        <v>16</v>
      </c>
      <c r="C16" s="23"/>
      <c r="D16" s="22">
        <f>D12+D15</f>
        <v>883453357.20000005</v>
      </c>
    </row>
    <row r="17" spans="1:4" x14ac:dyDescent="0.2">
      <c r="A17" s="6"/>
      <c r="B17" s="6"/>
      <c r="C17" s="24"/>
      <c r="D17" s="11"/>
    </row>
    <row r="18" spans="1:4" x14ac:dyDescent="0.2">
      <c r="A18" s="17">
        <v>12</v>
      </c>
      <c r="B18" s="6" t="s">
        <v>5</v>
      </c>
      <c r="C18" s="24"/>
      <c r="D18" s="11"/>
    </row>
    <row r="19" spans="1:4" x14ac:dyDescent="0.2">
      <c r="A19" s="15">
        <v>13</v>
      </c>
      <c r="B19" s="20" t="s">
        <v>17</v>
      </c>
      <c r="C19" s="23"/>
      <c r="D19" s="22">
        <f>SUM('[1]Neraca Saldo Setelah Disesuaika'!E43:E47)-SUM('[1]Neraca Saldo Setelah Disesuaika'!D43:D47)</f>
        <v>2100000</v>
      </c>
    </row>
    <row r="20" spans="1:4" x14ac:dyDescent="0.2">
      <c r="A20" s="17">
        <v>14</v>
      </c>
      <c r="B20" s="6" t="s">
        <v>18</v>
      </c>
      <c r="C20" s="24"/>
      <c r="D20" s="18">
        <f>SUM('[1]Neraca Saldo Setelah Disesuaika'!E48:E51)-SUM('[1]Neraca Saldo Setelah Disesuaika'!D48:D51)</f>
        <v>20000000</v>
      </c>
    </row>
    <row r="21" spans="1:4" x14ac:dyDescent="0.2">
      <c r="A21" s="17">
        <v>15</v>
      </c>
      <c r="B21" s="6" t="s">
        <v>19</v>
      </c>
      <c r="C21" s="24"/>
      <c r="D21" s="18">
        <f>SUM(D19:D20)</f>
        <v>22100000</v>
      </c>
    </row>
    <row r="22" spans="1:4" x14ac:dyDescent="0.2">
      <c r="A22" s="15">
        <v>16</v>
      </c>
      <c r="B22" s="20" t="s">
        <v>6</v>
      </c>
      <c r="C22" s="23"/>
      <c r="D22" s="12"/>
    </row>
    <row r="23" spans="1:4" x14ac:dyDescent="0.2">
      <c r="A23" s="15">
        <v>17</v>
      </c>
      <c r="B23" s="20" t="s">
        <v>7</v>
      </c>
      <c r="C23" s="23"/>
      <c r="D23" s="22">
        <f>'[1]Laporan Perubahan Modal'!D20</f>
        <v>861353357.20000005</v>
      </c>
    </row>
    <row r="24" spans="1:4" x14ac:dyDescent="0.2">
      <c r="A24" s="17">
        <v>18</v>
      </c>
      <c r="B24" s="6" t="s">
        <v>20</v>
      </c>
      <c r="C24" s="24"/>
      <c r="D24" s="18">
        <f>D21+D23</f>
        <v>883453357.20000005</v>
      </c>
    </row>
    <row r="25" spans="1:4" x14ac:dyDescent="0.2">
      <c r="A25" s="15">
        <v>19</v>
      </c>
      <c r="B25" s="20" t="s">
        <v>21</v>
      </c>
      <c r="C25" s="23"/>
      <c r="D25" s="22">
        <f>D16-D24</f>
        <v>0</v>
      </c>
    </row>
    <row r="26" spans="1:4" x14ac:dyDescent="0.2">
      <c r="A26" s="6"/>
      <c r="B26" s="7"/>
      <c r="C26" s="6"/>
      <c r="D26" s="8"/>
    </row>
    <row r="27" spans="1:4" x14ac:dyDescent="0.2">
      <c r="A27" s="6"/>
      <c r="B27" s="7"/>
      <c r="C27" s="6"/>
      <c r="D27" s="8"/>
    </row>
    <row r="28" spans="1:4" x14ac:dyDescent="0.2">
      <c r="A28" s="6"/>
      <c r="B28" s="7"/>
      <c r="C28" s="6"/>
      <c r="D28" s="8"/>
    </row>
    <row r="29" spans="1:4" x14ac:dyDescent="0.2">
      <c r="A29" s="6"/>
      <c r="B29" s="7"/>
      <c r="C29" s="6"/>
      <c r="D29" s="8"/>
    </row>
    <row r="30" spans="1:4" x14ac:dyDescent="0.2">
      <c r="A30" s="6"/>
      <c r="B30" s="7"/>
      <c r="C30" s="6"/>
      <c r="D30" s="8"/>
    </row>
    <row r="31" spans="1:4" x14ac:dyDescent="0.2">
      <c r="A31" s="6"/>
      <c r="B31" s="7"/>
      <c r="C31" s="6"/>
      <c r="D31" s="8"/>
    </row>
    <row r="32" spans="1:4" x14ac:dyDescent="0.2">
      <c r="A32" s="6"/>
      <c r="B32" s="7"/>
      <c r="C32" s="6"/>
      <c r="D32" s="8"/>
    </row>
    <row r="33" spans="1:4" x14ac:dyDescent="0.2">
      <c r="A33" s="6"/>
      <c r="B33" s="7"/>
      <c r="C33" s="6"/>
      <c r="D33" s="8"/>
    </row>
    <row r="34" spans="1:4" x14ac:dyDescent="0.2">
      <c r="A34" s="6"/>
      <c r="B34" s="7"/>
      <c r="C34" s="6"/>
      <c r="D34" s="8"/>
    </row>
    <row r="35" spans="1:4" x14ac:dyDescent="0.2">
      <c r="A35" s="9"/>
      <c r="B35" s="10"/>
      <c r="C35" s="9"/>
      <c r="D35" s="3"/>
    </row>
    <row r="36" spans="1:4" x14ac:dyDescent="0.2">
      <c r="A36" s="9"/>
      <c r="B36" s="10"/>
      <c r="C36" s="9"/>
      <c r="D36" s="3"/>
    </row>
    <row r="37" spans="1:4" x14ac:dyDescent="0.2">
      <c r="A37" s="6"/>
      <c r="B37" s="7"/>
      <c r="C37" s="6"/>
      <c r="D37" s="13"/>
    </row>
    <row r="38" spans="1:4" x14ac:dyDescent="0.2">
      <c r="A38" s="9"/>
      <c r="B38" s="9"/>
      <c r="C38" s="9"/>
      <c r="D38" s="12"/>
    </row>
    <row r="39" spans="1:4" x14ac:dyDescent="0.2">
      <c r="A39" s="6"/>
      <c r="B39" s="7"/>
      <c r="C39" s="6"/>
      <c r="D39" s="11"/>
    </row>
    <row r="40" spans="1:4" x14ac:dyDescent="0.2">
      <c r="A40" s="6"/>
      <c r="B40" s="7"/>
      <c r="C40" s="6"/>
      <c r="D40" s="8"/>
    </row>
    <row r="41" spans="1:4" x14ac:dyDescent="0.2">
      <c r="A41" s="6"/>
      <c r="B41" s="7"/>
      <c r="C41" s="6"/>
      <c r="D41" s="8"/>
    </row>
    <row r="42" spans="1:4" x14ac:dyDescent="0.2">
      <c r="A42" s="6"/>
      <c r="B42" s="7"/>
      <c r="C42" s="6"/>
      <c r="D42" s="8"/>
    </row>
    <row r="43" spans="1:4" x14ac:dyDescent="0.2">
      <c r="A43" s="6"/>
      <c r="B43" s="7"/>
      <c r="C43" s="6"/>
      <c r="D43" s="8"/>
    </row>
    <row r="44" spans="1:4" x14ac:dyDescent="0.2">
      <c r="A44" s="6"/>
      <c r="B44" s="7"/>
      <c r="C44" s="6"/>
      <c r="D44" s="8"/>
    </row>
    <row r="45" spans="1:4" x14ac:dyDescent="0.2">
      <c r="A45" s="6"/>
      <c r="B45" s="7"/>
      <c r="C45" s="6"/>
      <c r="D45" s="8"/>
    </row>
    <row r="46" spans="1:4" x14ac:dyDescent="0.2">
      <c r="A46" s="6"/>
      <c r="B46" s="7"/>
      <c r="C46" s="6"/>
      <c r="D46" s="8"/>
    </row>
    <row r="47" spans="1:4" x14ac:dyDescent="0.2">
      <c r="A47" s="9"/>
      <c r="B47" s="10"/>
      <c r="C47" s="9"/>
      <c r="D47" s="3"/>
    </row>
    <row r="48" spans="1:4" x14ac:dyDescent="0.2">
      <c r="A48" s="9"/>
      <c r="B48" s="10"/>
      <c r="C48" s="9"/>
      <c r="D48" s="14"/>
    </row>
    <row r="49" spans="1:4" x14ac:dyDescent="0.2">
      <c r="A49" s="6"/>
      <c r="B49" s="7"/>
      <c r="C49" s="6"/>
      <c r="D49" s="13"/>
    </row>
    <row r="50" spans="1:4" x14ac:dyDescent="0.2">
      <c r="A50" s="6"/>
      <c r="B50" s="7"/>
      <c r="C50" s="6"/>
      <c r="D50" s="8"/>
    </row>
    <row r="51" spans="1:4" x14ac:dyDescent="0.2">
      <c r="A51" s="9"/>
      <c r="B51" s="10"/>
      <c r="C51" s="9"/>
      <c r="D51" s="3"/>
    </row>
    <row r="52" spans="1:4" x14ac:dyDescent="0.2">
      <c r="A52" s="9"/>
      <c r="B52" s="10"/>
      <c r="C52" s="9"/>
      <c r="D52" s="14"/>
    </row>
  </sheetData>
  <mergeCells count="5">
    <mergeCell ref="A1:D1"/>
    <mergeCell ref="A2:D2"/>
    <mergeCell ref="A3:D3"/>
    <mergeCell ref="A4:D4"/>
    <mergeCell ref="A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luqman affandi</dc:creator>
  <cp:lastModifiedBy>luqman affandi</cp:lastModifiedBy>
  <dcterms:created xsi:type="dcterms:W3CDTF">2026-06-16T10:05:02Z</dcterms:created>
  <dcterms:modified xsi:type="dcterms:W3CDTF">2026-06-16T10:46:22Z</dcterms:modified>
</cp:coreProperties>
</file>