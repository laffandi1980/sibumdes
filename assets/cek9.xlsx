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055A8D77-4A5F-964D-B80A-37BB53DB34FA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10" i="1" s="1"/>
</calcChain>
</file>

<file path=xl/sharedStrings.xml><?xml version="1.0" encoding="utf-8"?>
<sst xmlns="http://schemas.openxmlformats.org/spreadsheetml/2006/main" count="7" uniqueCount="7">
  <si>
    <t>BUMDES MAJU SEJAHTERA MANDIRI</t>
  </si>
  <si>
    <t>Penyertaan Modal Bantuan Pemerintah/BKK</t>
  </si>
  <si>
    <t>UNTUK PERIODE YANG BERAKHIR PADA 31 JANUARI 2026</t>
  </si>
  <si>
    <t>LAPORAN PENYERTAAN MODAL</t>
  </si>
  <si>
    <t>Tahun</t>
  </si>
  <si>
    <t>Tambahan Penyertaan Modal Periode Berjalan</t>
  </si>
  <si>
    <t>TOTAL PENYERTAAN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</si>
</sst>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4E3C"/>
        <bgColor rgb="FF174E3C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164" fontId="4" fillId="3" borderId="0" xfId="0" applyNumberFormat="1" applyFont="1" applyFill="1" applyAlignment="1">
      <alignment horizontal="right" wrapText="1"/>
    </xf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2" fillId="3" borderId="0" xfId="0" applyFont="1" applyFill="1"/>
    <xf numFmtId="0" fontId="4" fillId="3" borderId="0" xfId="0" applyFont="1" applyFill="1" applyAlignment="1">
      <alignment wrapText="1"/>
    </xf>
    <xf numFmtId="164" fontId="2" fillId="0" borderId="0" xfId="0" applyNumberFormat="1" applyFont="1"/>
    <xf numFmtId="164" fontId="2" fillId="3" borderId="0" xfId="0" applyNumberFormat="1" applyFont="1" applyFill="1"/>
    <xf numFmtId="164" fontId="5" fillId="0" borderId="0" xfId="0" applyNumberFormat="1" applyFont="1" applyAlignment="1">
      <alignment horizontal="right" wrapText="1"/>
    </xf>
    <xf numFmtId="164" fontId="6" fillId="3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B5" t="str">
            <v>Nama Akun</v>
          </cell>
          <cell r="D5" t="str">
            <v>Debit (Rp)</v>
          </cell>
          <cell r="E5" t="str">
            <v>Kredit (Rp)</v>
          </cell>
        </row>
        <row r="6">
          <cell r="B6" t="str">
            <v>ASET</v>
          </cell>
          <cell r="D6">
            <v>0</v>
          </cell>
          <cell r="E6">
            <v>0</v>
          </cell>
        </row>
        <row r="7">
          <cell r="B7" t="str">
            <v>Aset Lancar</v>
          </cell>
          <cell r="D7">
            <v>0</v>
          </cell>
          <cell r="E7">
            <v>0</v>
          </cell>
        </row>
        <row r="8">
          <cell r="B8" t="str">
            <v>Kas dan Setara Kas</v>
          </cell>
          <cell r="D8">
            <v>0</v>
          </cell>
          <cell r="E8">
            <v>0</v>
          </cell>
        </row>
        <row r="9">
          <cell r="B9" t="str">
            <v>Kas</v>
          </cell>
          <cell r="D9">
            <v>35275000</v>
          </cell>
          <cell r="E9">
            <v>0</v>
          </cell>
        </row>
        <row r="10">
          <cell r="B10" t="str">
            <v>Bank</v>
          </cell>
          <cell r="D10">
            <v>0</v>
          </cell>
          <cell r="E10">
            <v>0</v>
          </cell>
        </row>
        <row r="11">
          <cell r="B11" t="str">
            <v>Bank BRI</v>
          </cell>
          <cell r="D11">
            <v>243765000</v>
          </cell>
          <cell r="E11">
            <v>0</v>
          </cell>
        </row>
        <row r="12">
          <cell r="B12" t="str">
            <v>Bank Jatim</v>
          </cell>
          <cell r="D12">
            <v>97000000</v>
          </cell>
          <cell r="E12">
            <v>0</v>
          </cell>
        </row>
        <row r="13">
          <cell r="B13" t="str">
            <v>Bank Mandiri</v>
          </cell>
          <cell r="D13">
            <v>75000000</v>
          </cell>
          <cell r="E13">
            <v>0</v>
          </cell>
        </row>
        <row r="14">
          <cell r="B14" t="str">
            <v>Piutang Usaha</v>
          </cell>
          <cell r="D14">
            <v>0</v>
          </cell>
          <cell r="E14">
            <v>0</v>
          </cell>
        </row>
        <row r="15">
          <cell r="B15" t="str">
            <v>Piutang Usaha</v>
          </cell>
          <cell r="D15">
            <v>930000</v>
          </cell>
          <cell r="E15">
            <v>0</v>
          </cell>
        </row>
        <row r="16">
          <cell r="B16" t="str">
            <v>Penyisihan Piutang Tak Tertagih</v>
          </cell>
          <cell r="D16">
            <v>0</v>
          </cell>
          <cell r="E16">
            <v>0</v>
          </cell>
        </row>
        <row r="17">
          <cell r="B17" t="str">
            <v>Persediaan</v>
          </cell>
          <cell r="D17">
            <v>0</v>
          </cell>
          <cell r="E17">
            <v>0</v>
          </cell>
        </row>
        <row r="18">
          <cell r="B18" t="str">
            <v>Persediaan Barang Dagangan</v>
          </cell>
          <cell r="D18">
            <v>7830000</v>
          </cell>
          <cell r="E18">
            <v>0</v>
          </cell>
        </row>
        <row r="19">
          <cell r="B19" t="str">
            <v>Persediaan Barang Jadi</v>
          </cell>
          <cell r="D19">
            <v>2300439.2000000002</v>
          </cell>
          <cell r="E19">
            <v>0</v>
          </cell>
        </row>
        <row r="20">
          <cell r="B20" t="str">
            <v>Persediaan Lainnya</v>
          </cell>
          <cell r="D20">
            <v>0</v>
          </cell>
          <cell r="E20">
            <v>0</v>
          </cell>
        </row>
        <row r="21">
          <cell r="B21" t="str">
            <v>Aset Lancar Non-Persediaan</v>
          </cell>
          <cell r="D21">
            <v>0</v>
          </cell>
          <cell r="E21">
            <v>0</v>
          </cell>
        </row>
        <row r="22">
          <cell r="B22" t="str">
            <v>Perlengkapan</v>
          </cell>
          <cell r="D22">
            <v>2735000</v>
          </cell>
          <cell r="E22">
            <v>0</v>
          </cell>
        </row>
        <row r="23">
          <cell r="B23" t="str">
            <v>Biaya Dibayar di Muka</v>
          </cell>
          <cell r="D23">
            <v>0</v>
          </cell>
          <cell r="E23">
            <v>500000</v>
          </cell>
        </row>
        <row r="24">
          <cell r="B24" t="str">
            <v>Aset Lancar Lainnya</v>
          </cell>
          <cell r="D24">
            <v>0</v>
          </cell>
          <cell r="E24">
            <v>0</v>
          </cell>
        </row>
        <row r="25">
          <cell r="B25" t="str">
            <v>Aset Tetap</v>
          </cell>
          <cell r="D25">
            <v>0</v>
          </cell>
          <cell r="E25">
            <v>0</v>
          </cell>
        </row>
        <row r="26">
          <cell r="B26" t="str">
            <v>Tanah</v>
          </cell>
          <cell r="D26">
            <v>0</v>
          </cell>
          <cell r="E26">
            <v>0</v>
          </cell>
        </row>
        <row r="27">
          <cell r="B27" t="str">
            <v>Bangunan</v>
          </cell>
          <cell r="D27">
            <v>155000000</v>
          </cell>
          <cell r="E27">
            <v>0</v>
          </cell>
        </row>
        <row r="28">
          <cell r="B28" t="str">
            <v>Kendaraan</v>
          </cell>
          <cell r="D28">
            <v>169000000</v>
          </cell>
          <cell r="E28">
            <v>0</v>
          </cell>
        </row>
        <row r="29">
          <cell r="B29" t="str">
            <v>Peralatan dan Mesin</v>
          </cell>
          <cell r="D29">
            <v>94750000</v>
          </cell>
          <cell r="E29">
            <v>0</v>
          </cell>
        </row>
        <row r="30">
          <cell r="B30" t="str">
            <v>Meubelair/Inventaris</v>
          </cell>
          <cell r="D30">
            <v>0</v>
          </cell>
          <cell r="E30">
            <v>11000000</v>
          </cell>
        </row>
        <row r="31">
          <cell r="B31" t="str">
            <v>Aset Tetap Lainnya</v>
          </cell>
          <cell r="D31">
            <v>0</v>
          </cell>
          <cell r="E31">
            <v>0</v>
          </cell>
        </row>
        <row r="32">
          <cell r="B32" t="str">
            <v>Akumulasi Penyusutan Aset Tetap</v>
          </cell>
          <cell r="D32">
            <v>0</v>
          </cell>
          <cell r="E32">
            <v>0</v>
          </cell>
        </row>
        <row r="33">
          <cell r="B33" t="str">
            <v>Akumulasi Penyusutan Bangunan</v>
          </cell>
          <cell r="D33">
            <v>2716667</v>
          </cell>
          <cell r="E33">
            <v>0</v>
          </cell>
        </row>
        <row r="34">
          <cell r="B34" t="str">
            <v>Akumulasi Penyusutan Kendaraan</v>
          </cell>
          <cell r="D34">
            <v>0</v>
          </cell>
          <cell r="E34">
            <v>0</v>
          </cell>
        </row>
        <row r="35">
          <cell r="B35" t="str">
            <v>Akumulasi Penyusutan Peralatan dan Mesin</v>
          </cell>
          <cell r="D35">
            <v>1251</v>
          </cell>
          <cell r="E35">
            <v>0</v>
          </cell>
        </row>
        <row r="36">
          <cell r="B36" t="str">
            <v>Akumulasi Penyusutan Meubelair/Inventaris</v>
          </cell>
          <cell r="D36">
            <v>650000</v>
          </cell>
          <cell r="E36">
            <v>0</v>
          </cell>
        </row>
        <row r="37">
          <cell r="B37" t="str">
            <v>Akumulasi Penyusutan Aset Tetap Lainnya</v>
          </cell>
          <cell r="D37">
            <v>0</v>
          </cell>
          <cell r="E37">
            <v>0</v>
          </cell>
        </row>
        <row r="38">
          <cell r="B38" t="str">
            <v>Aset Lainnya</v>
          </cell>
          <cell r="D38">
            <v>0</v>
          </cell>
          <cell r="E38">
            <v>0</v>
          </cell>
        </row>
        <row r="39">
          <cell r="B39" t="str">
            <v>Investasi Jangka Panjang</v>
          </cell>
          <cell r="D39">
            <v>8000000</v>
          </cell>
          <cell r="E39">
            <v>0</v>
          </cell>
        </row>
        <row r="40">
          <cell r="B40" t="str">
            <v>Aset Tak Berwujud</v>
          </cell>
          <cell r="D40">
            <v>0</v>
          </cell>
          <cell r="E40">
            <v>0</v>
          </cell>
        </row>
        <row r="41">
          <cell r="B41" t="str">
            <v>Akumulasi Amortisasi Aset Tak Berwujud</v>
          </cell>
          <cell r="D41">
            <v>0</v>
          </cell>
          <cell r="E41">
            <v>0</v>
          </cell>
        </row>
        <row r="42">
          <cell r="B42" t="str">
            <v>KEWAJIBAN</v>
          </cell>
          <cell r="D42">
            <v>0</v>
          </cell>
          <cell r="E42">
            <v>0</v>
          </cell>
        </row>
        <row r="43">
          <cell r="B43" t="str">
            <v>Utang Usaha</v>
          </cell>
          <cell r="D43">
            <v>0</v>
          </cell>
          <cell r="E43">
            <v>2100000</v>
          </cell>
        </row>
        <row r="44">
          <cell r="B44" t="str">
            <v>Utang Gaji/Upah</v>
          </cell>
          <cell r="D44">
            <v>0</v>
          </cell>
          <cell r="E44">
            <v>0</v>
          </cell>
        </row>
        <row r="45">
          <cell r="B45" t="str">
            <v>Utang Pajak</v>
          </cell>
          <cell r="D45">
            <v>0</v>
          </cell>
          <cell r="E45">
            <v>0</v>
          </cell>
        </row>
        <row r="46">
          <cell r="B46" t="str">
            <v>Utang Utilitas</v>
          </cell>
          <cell r="D46">
            <v>0</v>
          </cell>
          <cell r="E46">
            <v>0</v>
          </cell>
        </row>
        <row r="47">
          <cell r="B47" t="str">
            <v>Utang Jangka Pendek Lainnya</v>
          </cell>
          <cell r="D47">
            <v>0</v>
          </cell>
          <cell r="E47">
            <v>0</v>
          </cell>
        </row>
        <row r="48">
          <cell r="B48" t="str">
            <v>Kewajiban Jangka Panjang</v>
          </cell>
          <cell r="D48">
            <v>0</v>
          </cell>
          <cell r="E48">
            <v>0</v>
          </cell>
        </row>
        <row r="49">
          <cell r="B49" t="str">
            <v>Utang Bank Jangka Panjang</v>
          </cell>
          <cell r="D49">
            <v>0</v>
          </cell>
          <cell r="E49">
            <v>20000000</v>
          </cell>
        </row>
        <row r="50">
          <cell r="B50" t="str">
            <v>Utang Pihak Ketiga Jangka Panjang</v>
          </cell>
          <cell r="D50">
            <v>0</v>
          </cell>
          <cell r="E50">
            <v>0</v>
          </cell>
        </row>
        <row r="51">
          <cell r="B51" t="str">
            <v>Utang Jangka Panjang Lainnya</v>
          </cell>
          <cell r="D51">
            <v>0</v>
          </cell>
          <cell r="E51">
            <v>0</v>
          </cell>
        </row>
        <row r="52">
          <cell r="B52" t="str">
            <v>EKUITAS</v>
          </cell>
          <cell r="D52">
            <v>0</v>
          </cell>
          <cell r="E52">
            <v>0</v>
          </cell>
        </row>
        <row r="53">
          <cell r="B53" t="str">
            <v>Penyertaan Modal Desa</v>
          </cell>
          <cell r="D53">
            <v>0</v>
          </cell>
          <cell r="E53">
            <v>357500000</v>
          </cell>
        </row>
        <row r="54">
          <cell r="B54" t="str">
            <v>Penyertaan Modal Masyarakat</v>
          </cell>
          <cell r="D54">
            <v>0</v>
          </cell>
          <cell r="E54">
            <v>362221000</v>
          </cell>
        </row>
        <row r="55">
          <cell r="B55" t="str">
            <v>Penyertaan Modal Bantuan Pemerintah/BKK</v>
          </cell>
          <cell r="D55">
            <v>0</v>
          </cell>
          <cell r="E55">
            <v>0</v>
          </cell>
        </row>
        <row r="56">
          <cell r="B56" t="str">
            <v>Tambahan Penyertaan Modal</v>
          </cell>
          <cell r="D56">
            <v>0</v>
          </cell>
          <cell r="E56">
            <v>0</v>
          </cell>
        </row>
        <row r="57">
          <cell r="B57" t="str">
            <v>Laba Ditahan</v>
          </cell>
          <cell r="D57">
            <v>0</v>
          </cell>
          <cell r="E57">
            <v>200000000</v>
          </cell>
        </row>
        <row r="58">
          <cell r="B58" t="str">
            <v>Laba/Rugi Tahun Berjalan</v>
          </cell>
          <cell r="D58">
            <v>0</v>
          </cell>
          <cell r="E58">
            <v>0</v>
          </cell>
        </row>
        <row r="59">
          <cell r="B59" t="str">
            <v>Bagi Hasil untuk Desa</v>
          </cell>
          <cell r="D59">
            <v>6000000</v>
          </cell>
          <cell r="E59">
            <v>0</v>
          </cell>
        </row>
        <row r="60">
          <cell r="B60" t="str">
            <v>Bagi Hasil untuk Masyarakat</v>
          </cell>
          <cell r="D60">
            <v>1250000</v>
          </cell>
          <cell r="E60">
            <v>0</v>
          </cell>
        </row>
        <row r="61">
          <cell r="B61" t="str">
            <v>Ekuitas Lainnya</v>
          </cell>
          <cell r="D61">
            <v>0</v>
          </cell>
          <cell r="E61">
            <v>0</v>
          </cell>
        </row>
        <row r="62">
          <cell r="B62" t="str">
            <v>PENDAPATAN USAHA</v>
          </cell>
          <cell r="D62">
            <v>0</v>
          </cell>
          <cell r="E62">
            <v>0</v>
          </cell>
        </row>
        <row r="63">
          <cell r="B63" t="str">
            <v>Pendapatan Penjualan Barang Dagangan</v>
          </cell>
          <cell r="D63">
            <v>0</v>
          </cell>
          <cell r="E63">
            <v>1510000</v>
          </cell>
        </row>
        <row r="64">
          <cell r="B64" t="str">
            <v>Pendapatan Penjualan Hasil Produksi</v>
          </cell>
          <cell r="D64">
            <v>0</v>
          </cell>
          <cell r="E64">
            <v>9900000</v>
          </cell>
        </row>
        <row r="65">
          <cell r="B65" t="str">
            <v>Pendapatan Jasa</v>
          </cell>
          <cell r="D65">
            <v>0</v>
          </cell>
          <cell r="E65">
            <v>1800000</v>
          </cell>
        </row>
        <row r="66">
          <cell r="B66" t="str">
            <v>Pendapatan Sewa</v>
          </cell>
          <cell r="D66">
            <v>0</v>
          </cell>
          <cell r="E66">
            <v>0</v>
          </cell>
        </row>
        <row r="67">
          <cell r="B67" t="str">
            <v>Pendapatan Denda</v>
          </cell>
          <cell r="D67">
            <v>0</v>
          </cell>
          <cell r="E67">
            <v>0</v>
          </cell>
        </row>
        <row r="68">
          <cell r="B68" t="str">
            <v>Pendapatan Operasional Lainnya</v>
          </cell>
          <cell r="D68">
            <v>0</v>
          </cell>
          <cell r="E68">
            <v>0</v>
          </cell>
        </row>
        <row r="69">
          <cell r="B69" t="str">
            <v>Pendapatan Non-Operasional</v>
          </cell>
          <cell r="D69">
            <v>0</v>
          </cell>
          <cell r="E69">
            <v>0</v>
          </cell>
        </row>
        <row r="70">
          <cell r="B70" t="str">
            <v>Pendapatan Bunga Bank</v>
          </cell>
          <cell r="D70">
            <v>0</v>
          </cell>
          <cell r="E70">
            <v>0</v>
          </cell>
        </row>
        <row r="71">
          <cell r="B71" t="str">
            <v>Laba Penjualan Aset Tetap</v>
          </cell>
          <cell r="D71">
            <v>0</v>
          </cell>
          <cell r="E71">
            <v>2553334</v>
          </cell>
        </row>
        <row r="72">
          <cell r="B72" t="str">
            <v>Pendapatan Lain-lain Non-Operasional</v>
          </cell>
          <cell r="D72">
            <v>0</v>
          </cell>
          <cell r="E72">
            <v>0</v>
          </cell>
        </row>
        <row r="73">
          <cell r="B73" t="str">
            <v>HARGA POKOK PENJUALAN</v>
          </cell>
          <cell r="D73">
            <v>0</v>
          </cell>
          <cell r="E73">
            <v>0</v>
          </cell>
        </row>
        <row r="74">
          <cell r="B74" t="str">
            <v>HPP Barang Dagangan</v>
          </cell>
          <cell r="D74">
            <v>336000</v>
          </cell>
          <cell r="E74">
            <v>0</v>
          </cell>
        </row>
        <row r="75">
          <cell r="B75" t="str">
            <v>HPP Barang Jadi / Hasil Produksi</v>
          </cell>
          <cell r="D75">
            <v>4384560.8</v>
          </cell>
          <cell r="E75">
            <v>0</v>
          </cell>
        </row>
        <row r="76">
          <cell r="B76" t="str">
            <v>HARGA POKOK PENJUALAN</v>
          </cell>
          <cell r="D76">
            <v>0</v>
          </cell>
          <cell r="E76">
            <v>0</v>
          </cell>
        </row>
        <row r="77">
          <cell r="B77" t="str">
            <v>Beban Produksi Langsung</v>
          </cell>
          <cell r="D77">
            <v>6400000</v>
          </cell>
          <cell r="E77">
            <v>0</v>
          </cell>
        </row>
        <row r="78">
          <cell r="B78" t="str">
            <v>Beban Operasional</v>
          </cell>
          <cell r="D78">
            <v>0</v>
          </cell>
          <cell r="E78">
            <v>175000</v>
          </cell>
        </row>
        <row r="79">
          <cell r="B79" t="str">
            <v>Beban Operasional Peternakan Ayam Petelur</v>
          </cell>
          <cell r="D79">
            <v>775000</v>
          </cell>
          <cell r="E79">
            <v>0</v>
          </cell>
        </row>
        <row r="80">
          <cell r="B80" t="str">
            <v>Beban Operasional Minimarket Desa Mart</v>
          </cell>
          <cell r="D80">
            <v>450000</v>
          </cell>
          <cell r="E80">
            <v>0</v>
          </cell>
        </row>
        <row r="81">
          <cell r="B81" t="str">
            <v>Beban Operasional Layanan Jasa Desa Prima</v>
          </cell>
          <cell r="D81">
            <v>1700000</v>
          </cell>
          <cell r="E81">
            <v>0</v>
          </cell>
        </row>
        <row r="82">
          <cell r="B82" t="str">
            <v>Beban Pegawai</v>
          </cell>
          <cell r="D82">
            <v>2475000</v>
          </cell>
          <cell r="E82">
            <v>0</v>
          </cell>
        </row>
        <row r="83">
          <cell r="B83" t="str">
            <v>Beban Administrasi dan Umum</v>
          </cell>
          <cell r="D83">
            <v>250000</v>
          </cell>
          <cell r="E83">
            <v>0</v>
          </cell>
        </row>
        <row r="84">
          <cell r="B84" t="str">
            <v>Beban Utilitas</v>
          </cell>
          <cell r="D84">
            <v>0</v>
          </cell>
          <cell r="E84">
            <v>0</v>
          </cell>
        </row>
        <row r="85">
          <cell r="B85" t="str">
            <v>Beban Pemeliharaan dan Perbaikan</v>
          </cell>
          <cell r="D85">
            <v>1850000</v>
          </cell>
          <cell r="E85">
            <v>0</v>
          </cell>
        </row>
        <row r="86">
          <cell r="B86" t="str">
            <v>Beban Perlengkapan</v>
          </cell>
          <cell r="D86">
            <v>510416</v>
          </cell>
          <cell r="E86">
            <v>0</v>
          </cell>
        </row>
        <row r="87">
          <cell r="B87" t="str">
            <v>Beban Sewa dan Asuransi</v>
          </cell>
          <cell r="D87">
            <v>500000</v>
          </cell>
          <cell r="E87">
            <v>0</v>
          </cell>
        </row>
        <row r="88">
          <cell r="B88" t="str">
            <v>Beban Penyusutan</v>
          </cell>
          <cell r="D88">
            <v>0</v>
          </cell>
          <cell r="E88">
            <v>0</v>
          </cell>
        </row>
        <row r="89">
          <cell r="B89" t="str">
            <v>Beban Pajak</v>
          </cell>
          <cell r="D89">
            <v>0</v>
          </cell>
          <cell r="E89">
            <v>0</v>
          </cell>
        </row>
        <row r="90">
          <cell r="B90" t="str">
            <v>Beban Operasional Lainnya</v>
          </cell>
          <cell r="D90">
            <v>0</v>
          </cell>
          <cell r="E90">
            <v>0</v>
          </cell>
        </row>
        <row r="91">
          <cell r="B91" t="str">
            <v>Beban Non-Operasional</v>
          </cell>
          <cell r="D91">
            <v>0</v>
          </cell>
          <cell r="E91">
            <v>0</v>
          </cell>
        </row>
        <row r="92">
          <cell r="B92" t="str">
            <v>Beban Bank</v>
          </cell>
          <cell r="D92">
            <v>0</v>
          </cell>
          <cell r="E92">
            <v>0</v>
          </cell>
        </row>
        <row r="93">
          <cell r="B93" t="str">
            <v>Beban Bunga</v>
          </cell>
          <cell r="D93">
            <v>0</v>
          </cell>
          <cell r="E93">
            <v>0</v>
          </cell>
        </row>
        <row r="94">
          <cell r="B94" t="str">
            <v>Beban Denda</v>
          </cell>
          <cell r="D94">
            <v>0</v>
          </cell>
          <cell r="E94">
            <v>0</v>
          </cell>
        </row>
        <row r="95">
          <cell r="B95" t="str">
            <v>Rugi Penjualan Aset Tetap</v>
          </cell>
          <cell r="D95">
            <v>47425000</v>
          </cell>
          <cell r="E95">
            <v>0</v>
          </cell>
        </row>
        <row r="96">
          <cell r="B96" t="str">
            <v>Beban Lain-lain Non-Operasional</v>
          </cell>
          <cell r="D96">
            <v>0</v>
          </cell>
          <cell r="E96">
            <v>0</v>
          </cell>
        </row>
        <row r="98">
          <cell r="D98">
            <v>969259334</v>
          </cell>
          <cell r="E98">
            <v>969259334</v>
          </cell>
        </row>
        <row r="99">
          <cell r="D99">
            <v>0</v>
          </cell>
          <cell r="E99" t="str">
            <v>BALANCE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D52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s="1" t="s">
        <v>0</v>
      </c>
      <c r="B1" s="2"/>
      <c r="C1" s="2"/>
      <c r="D1" s="6"/>
    </row>
    <row r="2" spans="1:4" x14ac:dyDescent="0.2">
      <c r="A2" s="1" t="s">
        <v>3</v>
      </c>
      <c r="B2" s="2"/>
      <c r="C2" s="2"/>
      <c r="D2" s="6"/>
    </row>
    <row r="3" spans="1:4" x14ac:dyDescent="0.2">
      <c r="A3" s="1" t="s">
        <v>2</v>
      </c>
      <c r="B3" s="2"/>
      <c r="C3" s="2"/>
      <c r="D3" s="6"/>
    </row>
    <row r="4" spans="1:4" x14ac:dyDescent="0.2">
      <c r="A4" s="4"/>
      <c r="B4" s="2"/>
      <c r="C4" s="2"/>
      <c r="D4" s="2"/>
    </row>
    <row r="5" spans="1:4" x14ac:dyDescent="0.2">
      <c r="A5" s="5" t="s">
        <v>4</v>
      </c>
      <c r="B5" s="2"/>
      <c r="C5" s="2"/>
      <c r="D5" s="2"/>
    </row>
    <row r="6" spans="1:4" x14ac:dyDescent="0.2">
      <c r="A6" s="15">
        <v>2025</v>
      </c>
      <c r="B6" s="2"/>
      <c r="C6" s="2"/>
      <c r="D6" s="2"/>
    </row>
    <row r="7" spans="1:4" x14ac:dyDescent="0.2">
      <c r="A7" s="15">
        <v>2025</v>
      </c>
      <c r="B7" s="2"/>
      <c r="C7" s="2"/>
      <c r="D7" s="2"/>
    </row>
    <row r="8" spans="1:4" ht="71" x14ac:dyDescent="0.2">
      <c r="A8" s="16">
        <v>2025</v>
      </c>
      <c r="B8" s="7" t="s">
        <v>1</v>
      </c>
      <c r="C8" s="8">
        <f>SUMIF('[1]Neraca Saldo Setelah Disesuaika'!$B:$B,"Penyertaan Modal Bantuan Pemerintah/BKK",'[1]Neraca Saldo Setelah Disesuaika'!$E:$E)-SUMIF('[1]Neraca Saldo Setelah Disesuaika'!$B:$B,"Penyertaan Modal Bantuan Pemerintah/BKK",'[1]Neraca Saldo Setelah Disesuaika'!$D:$D)</f>
        <v>0</v>
      </c>
      <c r="D8" s="6"/>
    </row>
    <row r="9" spans="1:4" ht="71" x14ac:dyDescent="0.2">
      <c r="A9" s="16">
        <v>2026</v>
      </c>
      <c r="B9" s="7" t="s">
        <v>5</v>
      </c>
      <c r="C9" s="8">
        <f>SUMIF('[1]Neraca Saldo Setelah Disesuaika'!$B:$B,"Tambahan Penyertaan Modal",'[1]Neraca Saldo Setelah Disesuaika'!$E:$E)-SUMIF('[1]Neraca Saldo Setelah Disesuaika'!$B:$B,"Tambahan Penyertaan Modal",'[1]Neraca Saldo Setelah Disesuaika'!$D:$D)</f>
        <v>0</v>
      </c>
      <c r="D9" s="6"/>
    </row>
    <row r="10" spans="1:4" ht="43" x14ac:dyDescent="0.2">
      <c r="A10" s="9"/>
      <c r="B10" s="10" t="s">
        <v>6</v>
      </c>
      <c r="C10" s="3">
        <f>SUM(C6:C9)</f>
        <v>0</v>
      </c>
      <c r="D10" s="6"/>
    </row>
    <row r="11" spans="1:4" x14ac:dyDescent="0.2">
      <c r="A11" s="6"/>
      <c r="B11" s="7"/>
      <c r="C11" s="6"/>
      <c r="D11" s="8"/>
    </row>
    <row r="12" spans="1:4" x14ac:dyDescent="0.2">
      <c r="A12" s="6"/>
      <c r="B12" s="7"/>
      <c r="C12" s="6"/>
      <c r="D12" s="8"/>
    </row>
    <row r="13" spans="1:4" x14ac:dyDescent="0.2">
      <c r="A13" s="9"/>
      <c r="B13" s="10"/>
      <c r="C13" s="9"/>
      <c r="D13" s="3"/>
    </row>
    <row r="14" spans="1:4" x14ac:dyDescent="0.2">
      <c r="A14" s="6"/>
      <c r="B14" s="6"/>
      <c r="C14" s="6"/>
      <c r="D14" s="11"/>
    </row>
    <row r="15" spans="1:4" x14ac:dyDescent="0.2">
      <c r="A15" s="9"/>
      <c r="B15" s="10"/>
      <c r="C15" s="9"/>
      <c r="D15" s="12"/>
    </row>
    <row r="16" spans="1:4" x14ac:dyDescent="0.2">
      <c r="A16" s="6"/>
      <c r="B16" s="7"/>
      <c r="C16" s="6"/>
      <c r="D16" s="8"/>
    </row>
    <row r="17" spans="1:4" x14ac:dyDescent="0.2">
      <c r="A17" s="6"/>
      <c r="B17" s="7"/>
      <c r="C17" s="6"/>
      <c r="D17" s="8"/>
    </row>
    <row r="18" spans="1:4" x14ac:dyDescent="0.2">
      <c r="A18" s="9"/>
      <c r="B18" s="10"/>
      <c r="C18" s="9"/>
      <c r="D18" s="3"/>
    </row>
    <row r="19" spans="1:4" x14ac:dyDescent="0.2">
      <c r="A19" s="9"/>
      <c r="B19" s="10"/>
      <c r="C19" s="9"/>
      <c r="D19" s="3"/>
    </row>
    <row r="20" spans="1:4" x14ac:dyDescent="0.2">
      <c r="A20" s="6"/>
      <c r="B20" s="6"/>
      <c r="C20" s="6"/>
      <c r="D20" s="11"/>
    </row>
    <row r="21" spans="1:4" x14ac:dyDescent="0.2">
      <c r="A21" s="9"/>
      <c r="B21" s="10"/>
      <c r="C21" s="9"/>
      <c r="D21" s="12"/>
    </row>
    <row r="22" spans="1:4" x14ac:dyDescent="0.2">
      <c r="A22" s="6"/>
      <c r="B22" s="7"/>
      <c r="C22" s="6"/>
      <c r="D22" s="8"/>
    </row>
    <row r="23" spans="1:4" x14ac:dyDescent="0.2">
      <c r="A23" s="6"/>
      <c r="B23" s="7"/>
      <c r="C23" s="6"/>
      <c r="D23" s="13"/>
    </row>
    <row r="24" spans="1:4" x14ac:dyDescent="0.2">
      <c r="A24" s="6"/>
      <c r="B24" s="7"/>
      <c r="C24" s="6"/>
      <c r="D24" s="8"/>
    </row>
    <row r="25" spans="1:4" x14ac:dyDescent="0.2">
      <c r="A25" s="6"/>
      <c r="B25" s="7"/>
      <c r="C25" s="6"/>
      <c r="D25" s="8"/>
    </row>
    <row r="26" spans="1:4" x14ac:dyDescent="0.2">
      <c r="A26" s="6"/>
      <c r="B26" s="7"/>
      <c r="C26" s="6"/>
      <c r="D26" s="8"/>
    </row>
    <row r="27" spans="1:4" x14ac:dyDescent="0.2">
      <c r="A27" s="6"/>
      <c r="B27" s="7"/>
      <c r="C27" s="6"/>
      <c r="D27" s="8"/>
    </row>
    <row r="28" spans="1:4" x14ac:dyDescent="0.2">
      <c r="A28" s="6"/>
      <c r="B28" s="7"/>
      <c r="C28" s="6"/>
      <c r="D28" s="8"/>
    </row>
    <row r="29" spans="1:4" x14ac:dyDescent="0.2">
      <c r="A29" s="6"/>
      <c r="B29" s="7"/>
      <c r="C29" s="6"/>
      <c r="D29" s="8"/>
    </row>
    <row r="30" spans="1:4" x14ac:dyDescent="0.2">
      <c r="A30" s="6"/>
      <c r="B30" s="7"/>
      <c r="C30" s="6"/>
      <c r="D30" s="8"/>
    </row>
    <row r="31" spans="1:4" x14ac:dyDescent="0.2">
      <c r="A31" s="6"/>
      <c r="B31" s="7"/>
      <c r="C31" s="6"/>
      <c r="D31" s="8"/>
    </row>
    <row r="32" spans="1:4" x14ac:dyDescent="0.2">
      <c r="A32" s="6"/>
      <c r="B32" s="7"/>
      <c r="C32" s="6"/>
      <c r="D32" s="8"/>
    </row>
    <row r="33" spans="1:4" x14ac:dyDescent="0.2">
      <c r="A33" s="6"/>
      <c r="B33" s="7"/>
      <c r="C33" s="6"/>
      <c r="D33" s="8"/>
    </row>
    <row r="34" spans="1:4" x14ac:dyDescent="0.2">
      <c r="A34" s="6"/>
      <c r="B34" s="7"/>
      <c r="C34" s="6"/>
      <c r="D34" s="8"/>
    </row>
    <row r="35" spans="1:4" x14ac:dyDescent="0.2">
      <c r="A35" s="9"/>
      <c r="B35" s="10"/>
      <c r="C35" s="9"/>
      <c r="D35" s="3"/>
    </row>
    <row r="36" spans="1:4" x14ac:dyDescent="0.2">
      <c r="A36" s="9"/>
      <c r="B36" s="10"/>
      <c r="C36" s="9"/>
      <c r="D36" s="3"/>
    </row>
    <row r="37" spans="1:4" x14ac:dyDescent="0.2">
      <c r="A37" s="6"/>
      <c r="B37" s="7"/>
      <c r="C37" s="6"/>
      <c r="D37" s="13"/>
    </row>
    <row r="38" spans="1:4" x14ac:dyDescent="0.2">
      <c r="A38" s="9"/>
      <c r="B38" s="9"/>
      <c r="C38" s="9"/>
      <c r="D38" s="12"/>
    </row>
    <row r="39" spans="1:4" x14ac:dyDescent="0.2">
      <c r="A39" s="6"/>
      <c r="B39" s="7"/>
      <c r="C39" s="6"/>
      <c r="D39" s="11"/>
    </row>
    <row r="40" spans="1:4" x14ac:dyDescent="0.2">
      <c r="A40" s="6"/>
      <c r="B40" s="7"/>
      <c r="C40" s="6"/>
      <c r="D40" s="8"/>
    </row>
    <row r="41" spans="1:4" x14ac:dyDescent="0.2">
      <c r="A41" s="6"/>
      <c r="B41" s="7"/>
      <c r="C41" s="6"/>
      <c r="D41" s="8"/>
    </row>
    <row r="42" spans="1:4" x14ac:dyDescent="0.2">
      <c r="A42" s="6"/>
      <c r="B42" s="7"/>
      <c r="C42" s="6"/>
      <c r="D42" s="8"/>
    </row>
    <row r="43" spans="1:4" x14ac:dyDescent="0.2">
      <c r="A43" s="6"/>
      <c r="B43" s="7"/>
      <c r="C43" s="6"/>
      <c r="D43" s="8"/>
    </row>
    <row r="44" spans="1:4" x14ac:dyDescent="0.2">
      <c r="A44" s="6"/>
      <c r="B44" s="7"/>
      <c r="C44" s="6"/>
      <c r="D44" s="8"/>
    </row>
    <row r="45" spans="1:4" x14ac:dyDescent="0.2">
      <c r="A45" s="6"/>
      <c r="B45" s="7"/>
      <c r="C45" s="6"/>
      <c r="D45" s="8"/>
    </row>
    <row r="46" spans="1:4" x14ac:dyDescent="0.2">
      <c r="A46" s="6"/>
      <c r="B46" s="7"/>
      <c r="C46" s="6"/>
      <c r="D46" s="8"/>
    </row>
    <row r="47" spans="1:4" x14ac:dyDescent="0.2">
      <c r="A47" s="9"/>
      <c r="B47" s="10"/>
      <c r="C47" s="9"/>
      <c r="D47" s="3"/>
    </row>
    <row r="48" spans="1:4" x14ac:dyDescent="0.2">
      <c r="A48" s="9"/>
      <c r="B48" s="10"/>
      <c r="C48" s="9"/>
      <c r="D48" s="14"/>
    </row>
    <row r="49" spans="1:4" x14ac:dyDescent="0.2">
      <c r="A49" s="6"/>
      <c r="B49" s="7"/>
      <c r="C49" s="6"/>
      <c r="D49" s="13"/>
    </row>
    <row r="50" spans="1:4" x14ac:dyDescent="0.2">
      <c r="A50" s="6"/>
      <c r="B50" s="7"/>
      <c r="C50" s="6"/>
      <c r="D50" s="8"/>
    </row>
    <row r="51" spans="1:4" x14ac:dyDescent="0.2">
      <c r="A51" s="9"/>
      <c r="B51" s="10"/>
      <c r="C51" s="9"/>
      <c r="D51" s="3"/>
    </row>
    <row r="52" spans="1:4" x14ac:dyDescent="0.2">
      <c r="A52" s="9"/>
      <c r="B52" s="10"/>
      <c r="C52" s="9"/>
      <c r="D52" s="14"/>
    </row>
  </sheetData>
  <mergeCells count="7">
    <mergeCell ref="A6:D6"/>
    <mergeCell ref="A7:D7"/>
    <mergeCell ref="A1:C1"/>
    <mergeCell ref="A2:C2"/>
    <mergeCell ref="A3:C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2026-06-16T10:31:58Z</dcterms:modified>
</cp:coreProperties>
</file>