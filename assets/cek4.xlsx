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FD23E944-25A0-8049-940E-88B5213086D0}" xr6:coauthVersionLast="47" xr6:coauthVersionMax="47" xr10:uidLastSave="{00000000-0000-0000-0000-000000000000}"/>
  <bookViews>
    <workbookView xWindow="1180" yWindow="1500" windowWidth="27240" windowHeight="15260" xr2:uid="{1F761CE8-8635-3A47-BC60-DEDCE3F38B2A}"/>
  </bookViews>
  <sheets>
    <sheet name="Sheet1" sheetId="1" r:id="rId1"/>
  </sheets>
  <externalReferences>
    <externalReference r:id="rId2"/>
  </externalReferences>
  <definedNames>
    <definedName name="RekapJurnalUnit1">[1]Jurnal!$A$132:$E$151</definedName>
    <definedName name="RekapPenyesuaianUnit1">'[1]Jurnal Penyesuaian'!$A$36:$E$44</definedName>
    <definedName name="RekapSaldoAwal">'[1]Saldo Awal'!$E$129:$H$201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1" l="1"/>
  <c r="C78" i="1"/>
  <c r="B78" i="1"/>
  <c r="C77" i="1"/>
  <c r="B77" i="1"/>
  <c r="P77" i="1" s="1"/>
  <c r="Q76" i="1"/>
  <c r="C76" i="1"/>
  <c r="B76" i="1"/>
  <c r="C75" i="1"/>
  <c r="B75" i="1"/>
  <c r="C74" i="1"/>
  <c r="B74" i="1"/>
  <c r="P74" i="1" s="1"/>
  <c r="Q73" i="1"/>
  <c r="C73" i="1"/>
  <c r="B73" i="1"/>
  <c r="P73" i="1" s="1"/>
  <c r="C72" i="1"/>
  <c r="B72" i="1"/>
  <c r="Q72" i="1" s="1"/>
  <c r="P71" i="1"/>
  <c r="C71" i="1"/>
  <c r="B71" i="1"/>
  <c r="Q71" i="1" s="1"/>
  <c r="C70" i="1"/>
  <c r="B70" i="1"/>
  <c r="C69" i="1"/>
  <c r="B69" i="1"/>
  <c r="Q68" i="1"/>
  <c r="C68" i="1"/>
  <c r="B68" i="1"/>
  <c r="C67" i="1"/>
  <c r="B67" i="1"/>
  <c r="Q67" i="1" s="1"/>
  <c r="Q66" i="1"/>
  <c r="P66" i="1"/>
  <c r="C66" i="1"/>
  <c r="B66" i="1"/>
  <c r="C65" i="1"/>
  <c r="B65" i="1"/>
  <c r="Q65" i="1" s="1"/>
  <c r="C64" i="1"/>
  <c r="B64" i="1"/>
  <c r="Q64" i="1" s="1"/>
  <c r="C63" i="1"/>
  <c r="B63" i="1"/>
  <c r="Q63" i="1" s="1"/>
  <c r="C62" i="1"/>
  <c r="B62" i="1"/>
  <c r="P62" i="1" s="1"/>
  <c r="C61" i="1"/>
  <c r="B61" i="1"/>
  <c r="Q60" i="1"/>
  <c r="C60" i="1"/>
  <c r="B60" i="1"/>
  <c r="P60" i="1" s="1"/>
  <c r="C59" i="1"/>
  <c r="B59" i="1"/>
  <c r="C58" i="1"/>
  <c r="B58" i="1"/>
  <c r="N58" i="1" s="1"/>
  <c r="C57" i="1"/>
  <c r="B57" i="1"/>
  <c r="N57" i="1" s="1"/>
  <c r="C56" i="1"/>
  <c r="B56" i="1"/>
  <c r="C55" i="1"/>
  <c r="B55" i="1"/>
  <c r="C54" i="1"/>
  <c r="B54" i="1"/>
  <c r="Q54" i="1" s="1"/>
  <c r="C53" i="1"/>
  <c r="B53" i="1"/>
  <c r="Q53" i="1" s="1"/>
  <c r="C52" i="1"/>
  <c r="B52" i="1"/>
  <c r="O52" i="1" s="1"/>
  <c r="Q51" i="1"/>
  <c r="C51" i="1"/>
  <c r="B51" i="1"/>
  <c r="C50" i="1"/>
  <c r="B50" i="1"/>
  <c r="N50" i="1" s="1"/>
  <c r="Q49" i="1"/>
  <c r="P49" i="1"/>
  <c r="C49" i="1"/>
  <c r="B49" i="1"/>
  <c r="C48" i="1"/>
  <c r="B48" i="1"/>
  <c r="Q47" i="1"/>
  <c r="P47" i="1"/>
  <c r="C47" i="1"/>
  <c r="B47" i="1"/>
  <c r="C46" i="1"/>
  <c r="B46" i="1"/>
  <c r="Q46" i="1" s="1"/>
  <c r="Q45" i="1"/>
  <c r="P45" i="1"/>
  <c r="C45" i="1"/>
  <c r="B45" i="1"/>
  <c r="C44" i="1"/>
  <c r="B44" i="1"/>
  <c r="C43" i="1"/>
  <c r="B43" i="1"/>
  <c r="C42" i="1"/>
  <c r="B42" i="1"/>
  <c r="O42" i="1" s="1"/>
  <c r="Q41" i="1"/>
  <c r="N41" i="1"/>
  <c r="C41" i="1"/>
  <c r="B41" i="1"/>
  <c r="C40" i="1"/>
  <c r="B40" i="1"/>
  <c r="Q40" i="1" s="1"/>
  <c r="O39" i="1"/>
  <c r="C39" i="1"/>
  <c r="B39" i="1"/>
  <c r="C38" i="1"/>
  <c r="B38" i="1"/>
  <c r="Q38" i="1" s="1"/>
  <c r="C37" i="1"/>
  <c r="B37" i="1"/>
  <c r="C36" i="1"/>
  <c r="B36" i="1"/>
  <c r="N36" i="1" s="1"/>
  <c r="C35" i="1"/>
  <c r="B35" i="1"/>
  <c r="C34" i="1"/>
  <c r="B34" i="1"/>
  <c r="Q34" i="1" s="1"/>
  <c r="C33" i="1"/>
  <c r="B33" i="1"/>
  <c r="Q32" i="1"/>
  <c r="P32" i="1"/>
  <c r="C32" i="1"/>
  <c r="B32" i="1"/>
  <c r="P31" i="1"/>
  <c r="O31" i="1"/>
  <c r="N31" i="1"/>
  <c r="C31" i="1"/>
  <c r="B31" i="1"/>
  <c r="Q31" i="1" s="1"/>
  <c r="N30" i="1"/>
  <c r="C30" i="1"/>
  <c r="B30" i="1"/>
  <c r="Q30" i="1" s="1"/>
  <c r="C29" i="1"/>
  <c r="B29" i="1"/>
  <c r="Q29" i="1" s="1"/>
  <c r="P28" i="1"/>
  <c r="C28" i="1"/>
  <c r="B28" i="1"/>
  <c r="O28" i="1" s="1"/>
  <c r="Q27" i="1"/>
  <c r="P27" i="1"/>
  <c r="O27" i="1"/>
  <c r="N27" i="1"/>
  <c r="C27" i="1"/>
  <c r="B27" i="1"/>
  <c r="C26" i="1"/>
  <c r="B26" i="1"/>
  <c r="Q26" i="1" s="1"/>
  <c r="O25" i="1"/>
  <c r="C25" i="1"/>
  <c r="B25" i="1"/>
  <c r="N25" i="1" s="1"/>
  <c r="O24" i="1"/>
  <c r="C24" i="1"/>
  <c r="B24" i="1"/>
  <c r="P24" i="1" s="1"/>
  <c r="O23" i="1"/>
  <c r="C23" i="1"/>
  <c r="B23" i="1"/>
  <c r="Q23" i="1" s="1"/>
  <c r="C22" i="1"/>
  <c r="B22" i="1"/>
  <c r="O22" i="1" s="1"/>
  <c r="P21" i="1"/>
  <c r="C21" i="1"/>
  <c r="B21" i="1"/>
  <c r="O21" i="1" s="1"/>
  <c r="C20" i="1"/>
  <c r="B20" i="1"/>
  <c r="C19" i="1"/>
  <c r="B19" i="1"/>
  <c r="Q19" i="1" s="1"/>
  <c r="Q18" i="1"/>
  <c r="P18" i="1"/>
  <c r="O18" i="1"/>
  <c r="N18" i="1"/>
  <c r="C18" i="1"/>
  <c r="B18" i="1"/>
  <c r="C17" i="1"/>
  <c r="B17" i="1"/>
  <c r="Q16" i="1"/>
  <c r="P16" i="1"/>
  <c r="C16" i="1"/>
  <c r="B16" i="1"/>
  <c r="O16" i="1" s="1"/>
  <c r="C15" i="1"/>
  <c r="B15" i="1"/>
  <c r="C14" i="1"/>
  <c r="B14" i="1"/>
  <c r="C13" i="1"/>
  <c r="B13" i="1"/>
  <c r="Q13" i="1" s="1"/>
  <c r="Q12" i="1"/>
  <c r="P12" i="1"/>
  <c r="C12" i="1"/>
  <c r="B12" i="1"/>
  <c r="O12" i="1" s="1"/>
  <c r="Q11" i="1"/>
  <c r="P11" i="1"/>
  <c r="O11" i="1"/>
  <c r="C11" i="1"/>
  <c r="B11" i="1"/>
  <c r="N11" i="1" s="1"/>
  <c r="N10" i="1"/>
  <c r="C10" i="1"/>
  <c r="B10" i="1"/>
  <c r="Q10" i="1" s="1"/>
  <c r="Q9" i="1"/>
  <c r="C9" i="1"/>
  <c r="B9" i="1"/>
  <c r="O9" i="1" s="1"/>
  <c r="O8" i="1"/>
  <c r="N8" i="1"/>
  <c r="C8" i="1"/>
  <c r="B8" i="1"/>
  <c r="C7" i="1"/>
  <c r="B7" i="1"/>
  <c r="A7" i="1"/>
  <c r="P9" i="1" l="1"/>
  <c r="O57" i="1"/>
  <c r="N26" i="1"/>
  <c r="P29" i="1"/>
  <c r="N38" i="1"/>
  <c r="O58" i="1"/>
  <c r="O26" i="1"/>
  <c r="O36" i="1"/>
  <c r="O38" i="1"/>
  <c r="P40" i="1"/>
  <c r="N53" i="1"/>
  <c r="P72" i="1"/>
  <c r="Q77" i="1"/>
  <c r="O10" i="1"/>
  <c r="N22" i="1"/>
  <c r="P26" i="1"/>
  <c r="P36" i="1"/>
  <c r="P38" i="1"/>
  <c r="O53" i="1"/>
  <c r="E21" i="1" a="1"/>
  <c r="E21" i="1" s="1"/>
  <c r="G7" i="1" a="1"/>
  <c r="G7" i="1" s="1"/>
  <c r="N9" i="1"/>
  <c r="P10" i="1"/>
  <c r="O34" i="1"/>
  <c r="Q36" i="1"/>
  <c r="P46" i="1"/>
  <c r="P65" i="1"/>
  <c r="P67" i="1"/>
  <c r="E16" i="1" a="1"/>
  <c r="E16" i="1" s="1"/>
  <c r="E17" i="1" a="1"/>
  <c r="E17" i="1" s="1"/>
  <c r="Q17" i="1"/>
  <c r="P17" i="1"/>
  <c r="N17" i="1"/>
  <c r="Q15" i="1"/>
  <c r="E15" i="1" a="1"/>
  <c r="E15" i="1" s="1"/>
  <c r="P15" i="1"/>
  <c r="O17" i="1"/>
  <c r="E73" i="1" a="1"/>
  <c r="E73" i="1" s="1"/>
  <c r="E65" i="1" a="1"/>
  <c r="E65" i="1" s="1"/>
  <c r="E57" i="1" a="1"/>
  <c r="E57" i="1" s="1"/>
  <c r="E45" i="1" a="1"/>
  <c r="E45" i="1" s="1"/>
  <c r="E66" i="1" a="1"/>
  <c r="E66" i="1" s="1"/>
  <c r="E58" i="1" a="1"/>
  <c r="E58" i="1" s="1"/>
  <c r="E72" i="1" a="1"/>
  <c r="E72" i="1" s="1"/>
  <c r="E63" i="1" a="1"/>
  <c r="E63" i="1" s="1"/>
  <c r="E52" i="1" a="1"/>
  <c r="E52" i="1" s="1"/>
  <c r="E49" i="1" a="1"/>
  <c r="E49" i="1" s="1"/>
  <c r="E54" i="1" a="1"/>
  <c r="E54" i="1" s="1"/>
  <c r="E50" i="1" a="1"/>
  <c r="E50" i="1" s="1"/>
  <c r="E56" i="1" a="1"/>
  <c r="E56" i="1" s="1"/>
  <c r="E47" i="1" a="1"/>
  <c r="E47" i="1" s="1"/>
  <c r="E46" i="1" a="1"/>
  <c r="E46" i="1" s="1"/>
  <c r="E27" i="1" a="1"/>
  <c r="E27" i="1" s="1"/>
  <c r="E74" i="1" a="1"/>
  <c r="E74" i="1" s="1"/>
  <c r="E67" i="1" a="1"/>
  <c r="E67" i="1" s="1"/>
  <c r="E36" i="1" a="1"/>
  <c r="E36" i="1" s="1"/>
  <c r="E71" i="1" a="1"/>
  <c r="E71" i="1" s="1"/>
  <c r="E38" i="1" a="1"/>
  <c r="E38" i="1" s="1"/>
  <c r="E32" i="1" a="1"/>
  <c r="E32" i="1" s="1"/>
  <c r="E11" i="1" a="1"/>
  <c r="E11" i="1" s="1"/>
  <c r="P13" i="1"/>
  <c r="E13" i="1" a="1"/>
  <c r="E13" i="1" s="1"/>
  <c r="O13" i="1"/>
  <c r="N13" i="1"/>
  <c r="N15" i="1"/>
  <c r="E19" i="1" a="1"/>
  <c r="E19" i="1" s="1"/>
  <c r="P22" i="1"/>
  <c r="E22" i="1" a="1"/>
  <c r="E22" i="1" s="1"/>
  <c r="Q22" i="1"/>
  <c r="A8" i="1"/>
  <c r="K7" i="1" a="1"/>
  <c r="K7" i="1" s="1"/>
  <c r="F7" i="1" a="1"/>
  <c r="F7" i="1" s="1"/>
  <c r="J7" i="1" a="1"/>
  <c r="J7" i="1" s="1"/>
  <c r="O15" i="1"/>
  <c r="N20" i="1"/>
  <c r="E20" i="1" a="1"/>
  <c r="E20" i="1" s="1"/>
  <c r="O20" i="1"/>
  <c r="E25" i="1" a="1"/>
  <c r="E25" i="1" s="1"/>
  <c r="E26" i="1" a="1"/>
  <c r="E26" i="1" s="1"/>
  <c r="Q7" i="1"/>
  <c r="P7" i="1"/>
  <c r="E7" i="1" a="1"/>
  <c r="E7" i="1" s="1"/>
  <c r="O7" i="1"/>
  <c r="P20" i="1"/>
  <c r="Q24" i="1"/>
  <c r="E24" i="1" a="1"/>
  <c r="E24" i="1" s="1"/>
  <c r="N24" i="1"/>
  <c r="E10" i="1" a="1"/>
  <c r="E10" i="1" s="1"/>
  <c r="Q20" i="1"/>
  <c r="E23" i="1" a="1"/>
  <c r="E23" i="1" s="1"/>
  <c r="N7" i="1"/>
  <c r="Q14" i="1"/>
  <c r="P14" i="1"/>
  <c r="E14" i="1" a="1"/>
  <c r="E14" i="1" s="1"/>
  <c r="O14" i="1"/>
  <c r="N14" i="1"/>
  <c r="E18" i="1" a="1"/>
  <c r="E18" i="1" s="1"/>
  <c r="Q8" i="1"/>
  <c r="P8" i="1"/>
  <c r="E8" i="1" a="1"/>
  <c r="E8" i="1" s="1"/>
  <c r="E9" i="1" a="1"/>
  <c r="E9" i="1" s="1"/>
  <c r="E12" i="1" a="1"/>
  <c r="E12" i="1" s="1"/>
  <c r="Q70" i="1"/>
  <c r="P70" i="1"/>
  <c r="E70" i="1" a="1"/>
  <c r="E70" i="1" s="1"/>
  <c r="P25" i="1"/>
  <c r="N28" i="1"/>
  <c r="Q28" i="1"/>
  <c r="E37" i="1" a="1"/>
  <c r="E37" i="1" s="1"/>
  <c r="Q37" i="1"/>
  <c r="P37" i="1"/>
  <c r="N37" i="1"/>
  <c r="N39" i="1"/>
  <c r="E39" i="1" a="1"/>
  <c r="E39" i="1" s="1"/>
  <c r="P39" i="1"/>
  <c r="N19" i="1"/>
  <c r="Q25" i="1"/>
  <c r="O33" i="1"/>
  <c r="E33" i="1" a="1"/>
  <c r="E33" i="1" s="1"/>
  <c r="Q33" i="1"/>
  <c r="Q35" i="1"/>
  <c r="E35" i="1" a="1"/>
  <c r="E35" i="1" s="1"/>
  <c r="P35" i="1"/>
  <c r="N35" i="1"/>
  <c r="O37" i="1"/>
  <c r="Q39" i="1"/>
  <c r="O19" i="1"/>
  <c r="N21" i="1"/>
  <c r="N23" i="1"/>
  <c r="O29" i="1"/>
  <c r="N29" i="1"/>
  <c r="N33" i="1"/>
  <c r="O35" i="1"/>
  <c r="Q43" i="1"/>
  <c r="O43" i="1"/>
  <c r="N43" i="1"/>
  <c r="E43" i="1" a="1"/>
  <c r="E43" i="1" s="1"/>
  <c r="P43" i="1"/>
  <c r="E48" i="1" a="1"/>
  <c r="E48" i="1" s="1"/>
  <c r="Q48" i="1"/>
  <c r="P48" i="1"/>
  <c r="E55" i="1" a="1"/>
  <c r="E55" i="1" s="1"/>
  <c r="Q55" i="1"/>
  <c r="P55" i="1"/>
  <c r="O55" i="1"/>
  <c r="N55" i="1"/>
  <c r="N12" i="1"/>
  <c r="N16" i="1"/>
  <c r="P19" i="1"/>
  <c r="E28" i="1" a="1"/>
  <c r="E28" i="1" s="1"/>
  <c r="P30" i="1"/>
  <c r="E30" i="1" a="1"/>
  <c r="E30" i="1" s="1"/>
  <c r="O30" i="1"/>
  <c r="P33" i="1"/>
  <c r="E44" i="1" a="1"/>
  <c r="E44" i="1" s="1"/>
  <c r="P44" i="1"/>
  <c r="Q69" i="1"/>
  <c r="P69" i="1"/>
  <c r="E69" i="1" a="1"/>
  <c r="E69" i="1" s="1"/>
  <c r="Q21" i="1"/>
  <c r="P23" i="1"/>
  <c r="E29" i="1" a="1"/>
  <c r="E29" i="1" s="1"/>
  <c r="E31" i="1" a="1"/>
  <c r="E31" i="1" s="1"/>
  <c r="Q44" i="1"/>
  <c r="E60" i="1" a="1"/>
  <c r="E60" i="1" s="1"/>
  <c r="N51" i="1"/>
  <c r="O40" i="1"/>
  <c r="N40" i="1"/>
  <c r="N42" i="1"/>
  <c r="E64" i="1" a="1"/>
  <c r="E64" i="1" s="1"/>
  <c r="P64" i="1"/>
  <c r="N32" i="1"/>
  <c r="O32" i="1"/>
  <c r="P34" i="1"/>
  <c r="E34" i="1" a="1"/>
  <c r="E34" i="1" s="1"/>
  <c r="N34" i="1"/>
  <c r="P41" i="1"/>
  <c r="E41" i="1" a="1"/>
  <c r="E41" i="1" s="1"/>
  <c r="O41" i="1"/>
  <c r="O51" i="1"/>
  <c r="E40" i="1" a="1"/>
  <c r="E40" i="1" s="1"/>
  <c r="Q42" i="1"/>
  <c r="P42" i="1"/>
  <c r="E42" i="1" a="1"/>
  <c r="E42" i="1" s="1"/>
  <c r="Q50" i="1"/>
  <c r="P50" i="1"/>
  <c r="O50" i="1"/>
  <c r="E51" i="1" a="1"/>
  <c r="E51" i="1" s="1"/>
  <c r="P51" i="1"/>
  <c r="P53" i="1"/>
  <c r="E53" i="1" a="1"/>
  <c r="E53" i="1" s="1"/>
  <c r="Q62" i="1"/>
  <c r="E62" i="1" a="1"/>
  <c r="E62" i="1" s="1"/>
  <c r="Q75" i="1"/>
  <c r="P75" i="1"/>
  <c r="E75" i="1" a="1"/>
  <c r="E75" i="1" s="1"/>
  <c r="P61" i="1"/>
  <c r="E61" i="1" a="1"/>
  <c r="E61" i="1" s="1"/>
  <c r="N52" i="1"/>
  <c r="N54" i="1"/>
  <c r="N56" i="1"/>
  <c r="P59" i="1"/>
  <c r="P68" i="1"/>
  <c r="E68" i="1" a="1"/>
  <c r="E68" i="1" s="1"/>
  <c r="P52" i="1"/>
  <c r="O54" i="1"/>
  <c r="O56" i="1"/>
  <c r="Q59" i="1"/>
  <c r="Q61" i="1"/>
  <c r="P63" i="1"/>
  <c r="P76" i="1"/>
  <c r="E76" i="1" a="1"/>
  <c r="E76" i="1" s="1"/>
  <c r="Q52" i="1"/>
  <c r="P54" i="1"/>
  <c r="E59" i="1" a="1"/>
  <c r="E59" i="1" s="1"/>
  <c r="Q78" i="1"/>
  <c r="P78" i="1"/>
  <c r="E78" i="1" a="1"/>
  <c r="E78" i="1" s="1"/>
  <c r="Q74" i="1"/>
  <c r="E77" i="1" a="1"/>
  <c r="E77" i="1" s="1"/>
  <c r="D56" i="1" a="1"/>
  <c r="D56" i="1" s="1"/>
  <c r="D11" i="1" a="1"/>
  <c r="D11" i="1" s="1"/>
  <c r="D13" i="1" a="1"/>
  <c r="D13" i="1" s="1"/>
  <c r="D10" i="1" a="1"/>
  <c r="D10" i="1" s="1"/>
  <c r="D12" i="1" a="1"/>
  <c r="D12" i="1" s="1"/>
  <c r="D35" i="1" a="1"/>
  <c r="D35" i="1" s="1"/>
  <c r="D42" i="1" a="1"/>
  <c r="D42" i="1" s="1"/>
  <c r="D44" i="1" a="1"/>
  <c r="D44" i="1" s="1"/>
  <c r="D67" i="1" a="1"/>
  <c r="D67" i="1" s="1"/>
  <c r="D74" i="1" a="1"/>
  <c r="D74" i="1" s="1"/>
  <c r="D76" i="1" a="1"/>
  <c r="D76" i="1" s="1"/>
  <c r="D14" i="1" a="1"/>
  <c r="D14" i="1" s="1"/>
  <c r="D16" i="1" a="1"/>
  <c r="D16" i="1" s="1"/>
  <c r="D21" i="1" a="1"/>
  <c r="D21" i="1" s="1"/>
  <c r="D23" i="1" a="1"/>
  <c r="D23" i="1" s="1"/>
  <c r="D25" i="1" a="1"/>
  <c r="D25" i="1" s="1"/>
  <c r="D46" i="1" a="1"/>
  <c r="D46" i="1" s="1"/>
  <c r="D48" i="1" a="1"/>
  <c r="D48" i="1" s="1"/>
  <c r="D53" i="1" a="1"/>
  <c r="D53" i="1" s="1"/>
  <c r="D78" i="1" a="1"/>
  <c r="D78" i="1" s="1"/>
  <c r="D70" i="1" a="1"/>
  <c r="D70" i="1" s="1"/>
  <c r="D15" i="1" a="1"/>
  <c r="D15" i="1" s="1"/>
  <c r="D38" i="1" a="1"/>
  <c r="D38" i="1" s="1"/>
  <c r="D45" i="1" a="1"/>
  <c r="D45" i="1" s="1"/>
  <c r="D30" i="1" a="1"/>
  <c r="D30" i="1" s="1"/>
  <c r="D62" i="1" a="1"/>
  <c r="D62" i="1" s="1"/>
  <c r="D64" i="1" a="1"/>
  <c r="D64" i="1" s="1"/>
  <c r="D69" i="1" a="1"/>
  <c r="D69" i="1" s="1"/>
  <c r="D54" i="1" l="1" a="1"/>
  <c r="D54" i="1" s="1"/>
  <c r="D68" i="1" a="1"/>
  <c r="D68" i="1" s="1"/>
  <c r="D59" i="1" a="1"/>
  <c r="D59" i="1" s="1"/>
  <c r="D50" i="1" a="1"/>
  <c r="D50" i="1" s="1"/>
  <c r="D37" i="1" a="1"/>
  <c r="D37" i="1" s="1"/>
  <c r="D20" i="1" a="1"/>
  <c r="D20" i="1" s="1"/>
  <c r="A9" i="1"/>
  <c r="K8" i="1" a="1"/>
  <c r="K8" i="1" s="1"/>
  <c r="F8" i="1" a="1"/>
  <c r="F8" i="1" s="1"/>
  <c r="J8" i="1" a="1"/>
  <c r="J8" i="1" s="1"/>
  <c r="G8" i="1" a="1"/>
  <c r="G8" i="1" s="1"/>
  <c r="D36" i="1" a="1"/>
  <c r="D36" i="1" s="1"/>
  <c r="D41" i="1" a="1"/>
  <c r="D41" i="1" s="1"/>
  <c r="D71" i="1" a="1"/>
  <c r="D71" i="1" s="1"/>
  <c r="D65" i="1" a="1"/>
  <c r="D65" i="1" s="1"/>
  <c r="D61" i="1" a="1"/>
  <c r="D61" i="1" s="1"/>
  <c r="D33" i="1" a="1"/>
  <c r="D33" i="1" s="1"/>
  <c r="D9" i="1" a="1"/>
  <c r="D9" i="1" s="1"/>
  <c r="E98" i="1"/>
  <c r="I7" i="1"/>
  <c r="D22" i="1" a="1"/>
  <c r="D22" i="1" s="1"/>
  <c r="D72" i="1" a="1"/>
  <c r="D72" i="1" s="1"/>
  <c r="D17" i="1" a="1"/>
  <c r="D17" i="1" s="1"/>
  <c r="D52" i="1" a="1"/>
  <c r="D52" i="1" s="1"/>
  <c r="D51" i="1" a="1"/>
  <c r="D51" i="1" s="1"/>
  <c r="D31" i="1" a="1"/>
  <c r="D31" i="1" s="1"/>
  <c r="D55" i="1" a="1"/>
  <c r="D55" i="1" s="1"/>
  <c r="D24" i="1" a="1"/>
  <c r="D24" i="1" s="1"/>
  <c r="D34" i="1" a="1"/>
  <c r="D34" i="1" s="1"/>
  <c r="D66" i="1" a="1"/>
  <c r="D66" i="1" s="1"/>
  <c r="D7" i="1" a="1"/>
  <c r="D7" i="1" s="1"/>
  <c r="D26" i="1" a="1"/>
  <c r="D26" i="1" s="1"/>
  <c r="D58" i="1" a="1"/>
  <c r="D58" i="1" s="1"/>
  <c r="D75" i="1" a="1"/>
  <c r="D75" i="1" s="1"/>
  <c r="D39" i="1" a="1"/>
  <c r="D39" i="1" s="1"/>
  <c r="D28" i="1" a="1"/>
  <c r="D28" i="1" s="1"/>
  <c r="D27" i="1" a="1"/>
  <c r="D27" i="1" s="1"/>
  <c r="D8" i="1" a="1"/>
  <c r="D8" i="1" s="1"/>
  <c r="H8" i="1" s="1"/>
  <c r="D60" i="1" a="1"/>
  <c r="D60" i="1" s="1"/>
  <c r="D49" i="1" a="1"/>
  <c r="D49" i="1" s="1"/>
  <c r="D29" i="1" a="1"/>
  <c r="D29" i="1" s="1"/>
  <c r="D57" i="1" a="1"/>
  <c r="D57" i="1" s="1"/>
  <c r="D73" i="1" a="1"/>
  <c r="D73" i="1" s="1"/>
  <c r="D63" i="1" a="1"/>
  <c r="D63" i="1" s="1"/>
  <c r="D32" i="1" a="1"/>
  <c r="D32" i="1" s="1"/>
  <c r="D40" i="1" a="1"/>
  <c r="D40" i="1" s="1"/>
  <c r="D43" i="1" a="1"/>
  <c r="D43" i="1" s="1"/>
  <c r="D19" i="1" a="1"/>
  <c r="D19" i="1" s="1"/>
  <c r="D18" i="1" a="1"/>
  <c r="D18" i="1" s="1"/>
  <c r="D77" i="1" a="1"/>
  <c r="D77" i="1" s="1"/>
  <c r="D47" i="1" l="1" a="1"/>
  <c r="D47" i="1" s="1"/>
  <c r="D98" i="1" s="1"/>
  <c r="H7" i="1"/>
  <c r="L8" i="1"/>
  <c r="M7" i="1"/>
  <c r="I8" i="1"/>
  <c r="M8" i="1" s="1"/>
  <c r="G9" i="1" a="1"/>
  <c r="G9" i="1" s="1"/>
  <c r="I9" i="1" s="1"/>
  <c r="A10" i="1"/>
  <c r="K9" i="1" a="1"/>
  <c r="K9" i="1" s="1"/>
  <c r="F9" i="1" a="1"/>
  <c r="F9" i="1" s="1"/>
  <c r="J9" i="1" a="1"/>
  <c r="J9" i="1" s="1"/>
  <c r="G10" i="1" l="1" a="1"/>
  <c r="G10" i="1" s="1"/>
  <c r="A11" i="1"/>
  <c r="K10" i="1" a="1"/>
  <c r="K10" i="1" s="1"/>
  <c r="F10" i="1" a="1"/>
  <c r="F10" i="1" s="1"/>
  <c r="J10" i="1" a="1"/>
  <c r="J10" i="1" s="1"/>
  <c r="H9" i="1"/>
  <c r="L9" i="1" s="1"/>
  <c r="L7" i="1"/>
  <c r="H10" i="1" l="1"/>
  <c r="G11" i="1" a="1"/>
  <c r="G11" i="1" s="1"/>
  <c r="I11" i="1" s="1"/>
  <c r="J11" i="1" a="1"/>
  <c r="J11" i="1" s="1"/>
  <c r="A12" i="1"/>
  <c r="F11" i="1" a="1"/>
  <c r="F11" i="1" s="1"/>
  <c r="K11" i="1" a="1"/>
  <c r="K11" i="1" s="1"/>
  <c r="I10" i="1"/>
  <c r="L10" i="1" s="1"/>
  <c r="M9" i="1"/>
  <c r="G12" i="1" l="1" a="1"/>
  <c r="G12" i="1" s="1"/>
  <c r="K12" i="1" a="1"/>
  <c r="K12" i="1" s="1"/>
  <c r="J12" i="1" a="1"/>
  <c r="J12" i="1" s="1"/>
  <c r="A13" i="1"/>
  <c r="F12" i="1" a="1"/>
  <c r="F12" i="1" s="1"/>
  <c r="H12" i="1" s="1"/>
  <c r="H11" i="1"/>
  <c r="M11" i="1"/>
  <c r="M10" i="1"/>
  <c r="I12" i="1" l="1"/>
  <c r="L11" i="1"/>
  <c r="L12" i="1"/>
  <c r="J13" i="1" a="1"/>
  <c r="J13" i="1" s="1"/>
  <c r="G13" i="1" a="1"/>
  <c r="G13" i="1" s="1"/>
  <c r="A14" i="1"/>
  <c r="F13" i="1" a="1"/>
  <c r="F13" i="1" s="1"/>
  <c r="K13" i="1" a="1"/>
  <c r="K13" i="1" s="1"/>
  <c r="I13" i="1" l="1"/>
  <c r="J14" i="1" a="1"/>
  <c r="J14" i="1" s="1"/>
  <c r="K14" i="1" a="1"/>
  <c r="K14" i="1" s="1"/>
  <c r="G14" i="1" a="1"/>
  <c r="G14" i="1" s="1"/>
  <c r="A15" i="1"/>
  <c r="F14" i="1" a="1"/>
  <c r="F14" i="1" s="1"/>
  <c r="H14" i="1" s="1"/>
  <c r="M13" i="1"/>
  <c r="M12" i="1"/>
  <c r="H13" i="1"/>
  <c r="F15" i="1" l="1" a="1"/>
  <c r="F15" i="1" s="1"/>
  <c r="K15" i="1" a="1"/>
  <c r="K15" i="1" s="1"/>
  <c r="A16" i="1"/>
  <c r="J15" i="1" a="1"/>
  <c r="J15" i="1" s="1"/>
  <c r="G15" i="1" a="1"/>
  <c r="G15" i="1" s="1"/>
  <c r="I15" i="1" s="1"/>
  <c r="L13" i="1"/>
  <c r="I14" i="1"/>
  <c r="A17" i="1" l="1"/>
  <c r="K16" i="1" a="1"/>
  <c r="K16" i="1" s="1"/>
  <c r="F16" i="1" a="1"/>
  <c r="F16" i="1" s="1"/>
  <c r="G16" i="1" a="1"/>
  <c r="G16" i="1" s="1"/>
  <c r="J16" i="1" a="1"/>
  <c r="J16" i="1" s="1"/>
  <c r="H15" i="1"/>
  <c r="M15" i="1" s="1"/>
  <c r="M14" i="1"/>
  <c r="L14" i="1"/>
  <c r="H16" i="1" l="1"/>
  <c r="I16" i="1"/>
  <c r="M16" i="1" s="1"/>
  <c r="L15" i="1"/>
  <c r="K17" i="1" a="1"/>
  <c r="K17" i="1" s="1"/>
  <c r="A18" i="1"/>
  <c r="J17" i="1" a="1"/>
  <c r="J17" i="1" s="1"/>
  <c r="G17" i="1" a="1"/>
  <c r="G17" i="1" s="1"/>
  <c r="I17" i="1" s="1"/>
  <c r="F17" i="1" a="1"/>
  <c r="F17" i="1" s="1"/>
  <c r="L16" i="1" l="1"/>
  <c r="H17" i="1"/>
  <c r="L17" i="1" s="1"/>
  <c r="G18" i="1" a="1"/>
  <c r="G18" i="1" s="1"/>
  <c r="F18" i="1" a="1"/>
  <c r="F18" i="1" s="1"/>
  <c r="K18" i="1" a="1"/>
  <c r="K18" i="1" s="1"/>
  <c r="A19" i="1"/>
  <c r="J18" i="1" a="1"/>
  <c r="J18" i="1" s="1"/>
  <c r="H18" i="1" l="1"/>
  <c r="J19" i="1" a="1"/>
  <c r="J19" i="1" s="1"/>
  <c r="G19" i="1" a="1"/>
  <c r="G19" i="1" s="1"/>
  <c r="K19" i="1" a="1"/>
  <c r="K19" i="1" s="1"/>
  <c r="F19" i="1" a="1"/>
  <c r="F19" i="1" s="1"/>
  <c r="A20" i="1"/>
  <c r="I18" i="1"/>
  <c r="M18" i="1" s="1"/>
  <c r="M17" i="1"/>
  <c r="H19" i="1" l="1"/>
  <c r="L18" i="1"/>
  <c r="F20" i="1" a="1"/>
  <c r="F20" i="1" s="1"/>
  <c r="K20" i="1" a="1"/>
  <c r="K20" i="1" s="1"/>
  <c r="A21" i="1"/>
  <c r="G20" i="1" a="1"/>
  <c r="G20" i="1" s="1"/>
  <c r="J20" i="1" a="1"/>
  <c r="J20" i="1" s="1"/>
  <c r="I19" i="1"/>
  <c r="M19" i="1" s="1"/>
  <c r="H20" i="1" l="1"/>
  <c r="I20" i="1"/>
  <c r="M20" i="1" s="1"/>
  <c r="J21" i="1" a="1"/>
  <c r="J21" i="1" s="1"/>
  <c r="G21" i="1" a="1"/>
  <c r="G21" i="1" s="1"/>
  <c r="K21" i="1" a="1"/>
  <c r="K21" i="1" s="1"/>
  <c r="F21" i="1" a="1"/>
  <c r="F21" i="1" s="1"/>
  <c r="A22" i="1"/>
  <c r="L20" i="1"/>
  <c r="L19" i="1"/>
  <c r="H21" i="1" l="1"/>
  <c r="J22" i="1" a="1"/>
  <c r="J22" i="1" s="1"/>
  <c r="F22" i="1" a="1"/>
  <c r="F22" i="1" s="1"/>
  <c r="K22" i="1" a="1"/>
  <c r="K22" i="1" s="1"/>
  <c r="A23" i="1"/>
  <c r="G22" i="1" a="1"/>
  <c r="G22" i="1" s="1"/>
  <c r="I21" i="1"/>
  <c r="M21" i="1" s="1"/>
  <c r="I22" i="1" l="1"/>
  <c r="L21" i="1"/>
  <c r="G23" i="1" a="1"/>
  <c r="G23" i="1" s="1"/>
  <c r="J23" i="1" a="1"/>
  <c r="J23" i="1" s="1"/>
  <c r="F23" i="1" a="1"/>
  <c r="F23" i="1" s="1"/>
  <c r="H23" i="1" s="1"/>
  <c r="A24" i="1"/>
  <c r="K23" i="1" a="1"/>
  <c r="K23" i="1" s="1"/>
  <c r="M22" i="1"/>
  <c r="H22" i="1"/>
  <c r="L22" i="1" s="1"/>
  <c r="A25" i="1" l="1"/>
  <c r="K24" i="1" a="1"/>
  <c r="K24" i="1" s="1"/>
  <c r="F24" i="1" a="1"/>
  <c r="F24" i="1" s="1"/>
  <c r="J24" i="1" a="1"/>
  <c r="J24" i="1" s="1"/>
  <c r="G24" i="1" a="1"/>
  <c r="G24" i="1" s="1"/>
  <c r="I24" i="1" s="1"/>
  <c r="I23" i="1"/>
  <c r="M23" i="1" s="1"/>
  <c r="L23" i="1" l="1"/>
  <c r="H24" i="1"/>
  <c r="L24" i="1" s="1"/>
  <c r="A26" i="1"/>
  <c r="K25" i="1" a="1"/>
  <c r="K25" i="1" s="1"/>
  <c r="F25" i="1" a="1"/>
  <c r="F25" i="1" s="1"/>
  <c r="J25" i="1" a="1"/>
  <c r="J25" i="1" s="1"/>
  <c r="G25" i="1" a="1"/>
  <c r="G25" i="1" s="1"/>
  <c r="I25" i="1" s="1"/>
  <c r="H25" i="1" l="1"/>
  <c r="L25" i="1" s="1"/>
  <c r="G26" i="1" a="1"/>
  <c r="G26" i="1" s="1"/>
  <c r="A27" i="1"/>
  <c r="J26" i="1" a="1"/>
  <c r="J26" i="1" s="1"/>
  <c r="F26" i="1" a="1"/>
  <c r="F26" i="1" s="1"/>
  <c r="H26" i="1" s="1"/>
  <c r="K26" i="1" a="1"/>
  <c r="K26" i="1" s="1"/>
  <c r="M24" i="1"/>
  <c r="G27" i="1" l="1" a="1"/>
  <c r="G27" i="1" s="1"/>
  <c r="I27" i="1" s="1"/>
  <c r="F27" i="1" a="1"/>
  <c r="F27" i="1" s="1"/>
  <c r="K27" i="1" a="1"/>
  <c r="K27" i="1" s="1"/>
  <c r="J27" i="1" a="1"/>
  <c r="J27" i="1" s="1"/>
  <c r="A28" i="1"/>
  <c r="I26" i="1"/>
  <c r="M26" i="1" s="1"/>
  <c r="M25" i="1"/>
  <c r="K28" i="1" l="1" a="1"/>
  <c r="K28" i="1" s="1"/>
  <c r="A29" i="1"/>
  <c r="J28" i="1" a="1"/>
  <c r="J28" i="1" s="1"/>
  <c r="F28" i="1" a="1"/>
  <c r="F28" i="1" s="1"/>
  <c r="G28" i="1" a="1"/>
  <c r="G28" i="1" s="1"/>
  <c r="I28" i="1" s="1"/>
  <c r="H27" i="1"/>
  <c r="L27" i="1" s="1"/>
  <c r="L26" i="1"/>
  <c r="M27" i="1" l="1"/>
  <c r="H28" i="1"/>
  <c r="L28" i="1" s="1"/>
  <c r="K29" i="1" a="1"/>
  <c r="K29" i="1" s="1"/>
  <c r="A30" i="1"/>
  <c r="J29" i="1" a="1"/>
  <c r="J29" i="1" s="1"/>
  <c r="G29" i="1" a="1"/>
  <c r="G29" i="1" s="1"/>
  <c r="F29" i="1" a="1"/>
  <c r="F29" i="1" s="1"/>
  <c r="H29" i="1" l="1"/>
  <c r="M28" i="1"/>
  <c r="I29" i="1"/>
  <c r="M29" i="1" s="1"/>
  <c r="J30" i="1" a="1"/>
  <c r="J30" i="1" s="1"/>
  <c r="A31" i="1"/>
  <c r="G30" i="1" a="1"/>
  <c r="G30" i="1" s="1"/>
  <c r="K30" i="1" a="1"/>
  <c r="K30" i="1" s="1"/>
  <c r="F30" i="1" a="1"/>
  <c r="F30" i="1" s="1"/>
  <c r="H30" i="1" s="1"/>
  <c r="I30" i="1" l="1"/>
  <c r="M30" i="1" s="1"/>
  <c r="F31" i="1" a="1"/>
  <c r="F31" i="1" s="1"/>
  <c r="K31" i="1" a="1"/>
  <c r="K31" i="1" s="1"/>
  <c r="A32" i="1"/>
  <c r="J31" i="1" a="1"/>
  <c r="J31" i="1" s="1"/>
  <c r="G31" i="1" a="1"/>
  <c r="G31" i="1" s="1"/>
  <c r="I31" i="1" s="1"/>
  <c r="L29" i="1"/>
  <c r="G32" i="1" l="1" a="1"/>
  <c r="G32" i="1" s="1"/>
  <c r="K32" i="1" a="1"/>
  <c r="K32" i="1" s="1"/>
  <c r="J32" i="1" a="1"/>
  <c r="J32" i="1" s="1"/>
  <c r="A33" i="1"/>
  <c r="F32" i="1" a="1"/>
  <c r="F32" i="1" s="1"/>
  <c r="H32" i="1" s="1"/>
  <c r="H31" i="1"/>
  <c r="L31" i="1" s="1"/>
  <c r="L30" i="1"/>
  <c r="F33" i="1" l="1" a="1"/>
  <c r="F33" i="1" s="1"/>
  <c r="K33" i="1" a="1"/>
  <c r="K33" i="1" s="1"/>
  <c r="A34" i="1"/>
  <c r="J33" i="1" a="1"/>
  <c r="J33" i="1" s="1"/>
  <c r="G33" i="1" a="1"/>
  <c r="G33" i="1" s="1"/>
  <c r="I33" i="1" s="1"/>
  <c r="I32" i="1"/>
  <c r="M32" i="1" s="1"/>
  <c r="M31" i="1"/>
  <c r="J34" i="1" l="1" a="1"/>
  <c r="J34" i="1" s="1"/>
  <c r="G34" i="1" a="1"/>
  <c r="G34" i="1" s="1"/>
  <c r="K34" i="1" a="1"/>
  <c r="K34" i="1" s="1"/>
  <c r="F34" i="1" a="1"/>
  <c r="F34" i="1" s="1"/>
  <c r="H34" i="1" s="1"/>
  <c r="A35" i="1"/>
  <c r="H33" i="1"/>
  <c r="L33" i="1" s="1"/>
  <c r="L32" i="1"/>
  <c r="F35" i="1" l="1" a="1"/>
  <c r="F35" i="1" s="1"/>
  <c r="K35" i="1" a="1"/>
  <c r="K35" i="1" s="1"/>
  <c r="A36" i="1"/>
  <c r="J35" i="1" a="1"/>
  <c r="J35" i="1" s="1"/>
  <c r="G35" i="1" a="1"/>
  <c r="G35" i="1" s="1"/>
  <c r="I35" i="1" s="1"/>
  <c r="I34" i="1"/>
  <c r="M34" i="1" s="1"/>
  <c r="M33" i="1"/>
  <c r="L34" i="1" l="1"/>
  <c r="A37" i="1"/>
  <c r="K36" i="1" a="1"/>
  <c r="K36" i="1" s="1"/>
  <c r="F36" i="1" a="1"/>
  <c r="F36" i="1" s="1"/>
  <c r="G36" i="1" a="1"/>
  <c r="G36" i="1" s="1"/>
  <c r="J36" i="1" a="1"/>
  <c r="J36" i="1" s="1"/>
  <c r="H35" i="1"/>
  <c r="L35" i="1" s="1"/>
  <c r="I36" i="1" l="1"/>
  <c r="H36" i="1"/>
  <c r="L36" i="1" s="1"/>
  <c r="K37" i="1" a="1"/>
  <c r="K37" i="1" s="1"/>
  <c r="A38" i="1"/>
  <c r="J37" i="1" a="1"/>
  <c r="J37" i="1" s="1"/>
  <c r="G37" i="1" a="1"/>
  <c r="G37" i="1" s="1"/>
  <c r="F37" i="1" a="1"/>
  <c r="F37" i="1" s="1"/>
  <c r="M35" i="1"/>
  <c r="I37" i="1" l="1"/>
  <c r="H37" i="1"/>
  <c r="L37" i="1" s="1"/>
  <c r="M37" i="1"/>
  <c r="G38" i="1" a="1"/>
  <c r="G38" i="1" s="1"/>
  <c r="F38" i="1" a="1"/>
  <c r="F38" i="1" s="1"/>
  <c r="H38" i="1" s="1"/>
  <c r="K38" i="1" a="1"/>
  <c r="K38" i="1" s="1"/>
  <c r="J38" i="1" a="1"/>
  <c r="J38" i="1" s="1"/>
  <c r="A39" i="1"/>
  <c r="M36" i="1"/>
  <c r="K39" i="1" l="1" a="1"/>
  <c r="K39" i="1" s="1"/>
  <c r="A40" i="1"/>
  <c r="J39" i="1" a="1"/>
  <c r="J39" i="1" s="1"/>
  <c r="G39" i="1" a="1"/>
  <c r="G39" i="1" s="1"/>
  <c r="F39" i="1" a="1"/>
  <c r="F39" i="1" s="1"/>
  <c r="I38" i="1"/>
  <c r="M38" i="1" s="1"/>
  <c r="H39" i="1" l="1"/>
  <c r="I39" i="1"/>
  <c r="K40" i="1" a="1"/>
  <c r="K40" i="1" s="1"/>
  <c r="A41" i="1"/>
  <c r="J40" i="1" a="1"/>
  <c r="J40" i="1" s="1"/>
  <c r="G40" i="1" a="1"/>
  <c r="G40" i="1" s="1"/>
  <c r="F40" i="1" a="1"/>
  <c r="F40" i="1" s="1"/>
  <c r="H40" i="1" s="1"/>
  <c r="L38" i="1"/>
  <c r="M39" i="1" l="1"/>
  <c r="J41" i="1" a="1"/>
  <c r="J41" i="1" s="1"/>
  <c r="A42" i="1"/>
  <c r="G41" i="1" a="1"/>
  <c r="G41" i="1" s="1"/>
  <c r="I41" i="1" s="1"/>
  <c r="K41" i="1" a="1"/>
  <c r="K41" i="1" s="1"/>
  <c r="F41" i="1" a="1"/>
  <c r="F41" i="1" s="1"/>
  <c r="I40" i="1"/>
  <c r="M40" i="1" s="1"/>
  <c r="L39" i="1"/>
  <c r="H41" i="1" l="1"/>
  <c r="L41" i="1" s="1"/>
  <c r="J42" i="1" a="1"/>
  <c r="J42" i="1" s="1"/>
  <c r="A43" i="1"/>
  <c r="G42" i="1" a="1"/>
  <c r="G42" i="1" s="1"/>
  <c r="K42" i="1" a="1"/>
  <c r="K42" i="1" s="1"/>
  <c r="F42" i="1" a="1"/>
  <c r="F42" i="1" s="1"/>
  <c r="H42" i="1" s="1"/>
  <c r="L40" i="1"/>
  <c r="M41" i="1" l="1"/>
  <c r="I42" i="1"/>
  <c r="M42" i="1" s="1"/>
  <c r="A44" i="1"/>
  <c r="K43" i="1" a="1"/>
  <c r="K43" i="1" s="1"/>
  <c r="F43" i="1" a="1"/>
  <c r="F43" i="1" s="1"/>
  <c r="G43" i="1" a="1"/>
  <c r="G43" i="1" s="1"/>
  <c r="I43" i="1" s="1"/>
  <c r="J43" i="1" a="1"/>
  <c r="J43" i="1" s="1"/>
  <c r="A45" i="1" l="1"/>
  <c r="K44" i="1" a="1"/>
  <c r="K44" i="1" s="1"/>
  <c r="F44" i="1" a="1"/>
  <c r="F44" i="1" s="1"/>
  <c r="G44" i="1" a="1"/>
  <c r="G44" i="1" s="1"/>
  <c r="I44" i="1" s="1"/>
  <c r="J44" i="1" a="1"/>
  <c r="J44" i="1" s="1"/>
  <c r="H43" i="1"/>
  <c r="L43" i="1" s="1"/>
  <c r="L42" i="1"/>
  <c r="H44" i="1" l="1"/>
  <c r="L44" i="1" s="1"/>
  <c r="N44" i="1" s="1"/>
  <c r="G45" i="1" a="1"/>
  <c r="G45" i="1" s="1"/>
  <c r="A46" i="1"/>
  <c r="K45" i="1" a="1"/>
  <c r="K45" i="1" s="1"/>
  <c r="J45" i="1" a="1"/>
  <c r="J45" i="1" s="1"/>
  <c r="F45" i="1" a="1"/>
  <c r="F45" i="1" s="1"/>
  <c r="H45" i="1" s="1"/>
  <c r="M44" i="1"/>
  <c r="O44" i="1" s="1"/>
  <c r="M43" i="1"/>
  <c r="G46" i="1" l="1" a="1"/>
  <c r="G46" i="1" s="1"/>
  <c r="I46" i="1" s="1"/>
  <c r="K46" i="1" a="1"/>
  <c r="K46" i="1" s="1"/>
  <c r="J46" i="1" a="1"/>
  <c r="J46" i="1" s="1"/>
  <c r="A47" i="1"/>
  <c r="F46" i="1" a="1"/>
  <c r="F46" i="1" s="1"/>
  <c r="I45" i="1"/>
  <c r="M45" i="1" s="1"/>
  <c r="O45" i="1" s="1"/>
  <c r="H46" i="1" l="1"/>
  <c r="L46" i="1" s="1"/>
  <c r="N46" i="1" s="1"/>
  <c r="A48" i="1"/>
  <c r="K47" i="1" a="1"/>
  <c r="K47" i="1" s="1"/>
  <c r="G47" i="1" a="1"/>
  <c r="G47" i="1" s="1"/>
  <c r="J47" i="1" a="1"/>
  <c r="J47" i="1" s="1"/>
  <c r="F47" i="1" a="1"/>
  <c r="F47" i="1" s="1"/>
  <c r="L45" i="1"/>
  <c r="N45" i="1" s="1"/>
  <c r="I47" i="1" l="1"/>
  <c r="M46" i="1"/>
  <c r="O46" i="1" s="1"/>
  <c r="H47" i="1"/>
  <c r="L47" i="1" s="1"/>
  <c r="N47" i="1" s="1"/>
  <c r="K48" i="1" a="1"/>
  <c r="K48" i="1" s="1"/>
  <c r="A49" i="1"/>
  <c r="J48" i="1" a="1"/>
  <c r="J48" i="1" s="1"/>
  <c r="G48" i="1" a="1"/>
  <c r="G48" i="1" s="1"/>
  <c r="F48" i="1" a="1"/>
  <c r="F48" i="1" s="1"/>
  <c r="H48" i="1" s="1"/>
  <c r="M47" i="1" l="1"/>
  <c r="O47" i="1" s="1"/>
  <c r="I48" i="1"/>
  <c r="M48" i="1" s="1"/>
  <c r="O48" i="1" s="1"/>
  <c r="G49" i="1" a="1"/>
  <c r="G49" i="1" s="1"/>
  <c r="F49" i="1" a="1"/>
  <c r="F49" i="1" s="1"/>
  <c r="H49" i="1" s="1"/>
  <c r="A50" i="1"/>
  <c r="J49" i="1" a="1"/>
  <c r="J49" i="1" s="1"/>
  <c r="K49" i="1" a="1"/>
  <c r="K49" i="1" s="1"/>
  <c r="J50" i="1" l="1" a="1"/>
  <c r="J50" i="1" s="1"/>
  <c r="K50" i="1" a="1"/>
  <c r="K50" i="1" s="1"/>
  <c r="G50" i="1" a="1"/>
  <c r="G50" i="1" s="1"/>
  <c r="A51" i="1"/>
  <c r="F50" i="1" a="1"/>
  <c r="F50" i="1" s="1"/>
  <c r="I49" i="1"/>
  <c r="M49" i="1" s="1"/>
  <c r="O49" i="1" s="1"/>
  <c r="L48" i="1"/>
  <c r="N48" i="1" s="1"/>
  <c r="I50" i="1" l="1"/>
  <c r="L49" i="1"/>
  <c r="N49" i="1" s="1"/>
  <c r="H50" i="1"/>
  <c r="L50" i="1" s="1"/>
  <c r="F51" i="1" a="1"/>
  <c r="F51" i="1" s="1"/>
  <c r="K51" i="1" a="1"/>
  <c r="K51" i="1" s="1"/>
  <c r="A52" i="1"/>
  <c r="J51" i="1" a="1"/>
  <c r="J51" i="1" s="1"/>
  <c r="G51" i="1" a="1"/>
  <c r="G51" i="1" s="1"/>
  <c r="I51" i="1" l="1"/>
  <c r="M50" i="1"/>
  <c r="J52" i="1" a="1"/>
  <c r="J52" i="1" s="1"/>
  <c r="A53" i="1"/>
  <c r="F52" i="1" a="1"/>
  <c r="F52" i="1" s="1"/>
  <c r="H52" i="1" s="1"/>
  <c r="K52" i="1" a="1"/>
  <c r="K52" i="1" s="1"/>
  <c r="G52" i="1" a="1"/>
  <c r="G52" i="1" s="1"/>
  <c r="H51" i="1"/>
  <c r="L51" i="1" s="1"/>
  <c r="I52" i="1" l="1"/>
  <c r="M52" i="1" s="1"/>
  <c r="L52" i="1"/>
  <c r="J53" i="1" a="1"/>
  <c r="J53" i="1" s="1"/>
  <c r="F53" i="1" a="1"/>
  <c r="F53" i="1" s="1"/>
  <c r="K53" i="1" a="1"/>
  <c r="K53" i="1" s="1"/>
  <c r="A54" i="1"/>
  <c r="G53" i="1" a="1"/>
  <c r="G53" i="1" s="1"/>
  <c r="M51" i="1"/>
  <c r="H53" i="1" l="1"/>
  <c r="I53" i="1"/>
  <c r="M53" i="1" s="1"/>
  <c r="K54" i="1" a="1"/>
  <c r="K54" i="1" s="1"/>
  <c r="J54" i="1" a="1"/>
  <c r="J54" i="1" s="1"/>
  <c r="A55" i="1"/>
  <c r="G54" i="1" a="1"/>
  <c r="G54" i="1" s="1"/>
  <c r="I54" i="1" s="1"/>
  <c r="F54" i="1" a="1"/>
  <c r="F54" i="1" s="1"/>
  <c r="L53" i="1"/>
  <c r="H54" i="1" l="1"/>
  <c r="L54" i="1" s="1"/>
  <c r="M54" i="1"/>
  <c r="A56" i="1"/>
  <c r="K55" i="1" a="1"/>
  <c r="K55" i="1" s="1"/>
  <c r="F55" i="1" a="1"/>
  <c r="F55" i="1" s="1"/>
  <c r="G55" i="1" a="1"/>
  <c r="G55" i="1" s="1"/>
  <c r="J55" i="1" a="1"/>
  <c r="J55" i="1" s="1"/>
  <c r="H55" i="1" l="1"/>
  <c r="J56" i="1" a="1"/>
  <c r="J56" i="1" s="1"/>
  <c r="G56" i="1" a="1"/>
  <c r="G56" i="1" s="1"/>
  <c r="A57" i="1"/>
  <c r="F56" i="1" a="1"/>
  <c r="F56" i="1" s="1"/>
  <c r="K56" i="1" a="1"/>
  <c r="K56" i="1" s="1"/>
  <c r="I55" i="1"/>
  <c r="M55" i="1" s="1"/>
  <c r="H56" i="1" l="1"/>
  <c r="G57" i="1" a="1"/>
  <c r="G57" i="1" s="1"/>
  <c r="K57" i="1" a="1"/>
  <c r="K57" i="1" s="1"/>
  <c r="A58" i="1"/>
  <c r="J57" i="1" a="1"/>
  <c r="J57" i="1" s="1"/>
  <c r="F57" i="1" a="1"/>
  <c r="F57" i="1" s="1"/>
  <c r="I56" i="1"/>
  <c r="M56" i="1" s="1"/>
  <c r="Q56" i="1" s="1"/>
  <c r="L55" i="1"/>
  <c r="H57" i="1" l="1"/>
  <c r="G58" i="1" a="1"/>
  <c r="G58" i="1" s="1"/>
  <c r="I58" i="1" s="1"/>
  <c r="F58" i="1" a="1"/>
  <c r="F58" i="1" s="1"/>
  <c r="K58" i="1" a="1"/>
  <c r="K58" i="1" s="1"/>
  <c r="A59" i="1"/>
  <c r="J58" i="1" a="1"/>
  <c r="J58" i="1" s="1"/>
  <c r="I57" i="1"/>
  <c r="M57" i="1" s="1"/>
  <c r="Q57" i="1" s="1"/>
  <c r="L56" i="1"/>
  <c r="P56" i="1" s="1"/>
  <c r="A60" i="1" l="1"/>
  <c r="J59" i="1" a="1"/>
  <c r="J59" i="1" s="1"/>
  <c r="K59" i="1" a="1"/>
  <c r="K59" i="1" s="1"/>
  <c r="G59" i="1" a="1"/>
  <c r="G59" i="1" s="1"/>
  <c r="I59" i="1" s="1"/>
  <c r="F59" i="1" a="1"/>
  <c r="F59" i="1" s="1"/>
  <c r="H58" i="1"/>
  <c r="L58" i="1" s="1"/>
  <c r="P58" i="1" s="1"/>
  <c r="L57" i="1"/>
  <c r="P57" i="1" s="1"/>
  <c r="P98" i="1" s="1"/>
  <c r="M58" i="1" l="1"/>
  <c r="Q58" i="1" s="1"/>
  <c r="Q98" i="1" s="1"/>
  <c r="P99" i="1" s="1"/>
  <c r="H59" i="1"/>
  <c r="L59" i="1" s="1"/>
  <c r="N59" i="1" s="1"/>
  <c r="G60" i="1" a="1"/>
  <c r="G60" i="1" s="1"/>
  <c r="F60" i="1" a="1"/>
  <c r="F60" i="1" s="1"/>
  <c r="K60" i="1" a="1"/>
  <c r="K60" i="1" s="1"/>
  <c r="J60" i="1" a="1"/>
  <c r="J60" i="1" s="1"/>
  <c r="A61" i="1"/>
  <c r="I60" i="1" l="1"/>
  <c r="J61" i="1" a="1"/>
  <c r="J61" i="1" s="1"/>
  <c r="A62" i="1"/>
  <c r="K61" i="1" a="1"/>
  <c r="K61" i="1" s="1"/>
  <c r="G61" i="1" a="1"/>
  <c r="G61" i="1" s="1"/>
  <c r="F61" i="1" a="1"/>
  <c r="F61" i="1" s="1"/>
  <c r="H61" i="1" s="1"/>
  <c r="H60" i="1"/>
  <c r="L60" i="1" s="1"/>
  <c r="N60" i="1" s="1"/>
  <c r="M59" i="1"/>
  <c r="O59" i="1" s="1"/>
  <c r="M60" i="1" l="1"/>
  <c r="O60" i="1" s="1"/>
  <c r="G62" i="1" a="1"/>
  <c r="G62" i="1" s="1"/>
  <c r="F62" i="1" a="1"/>
  <c r="F62" i="1" s="1"/>
  <c r="K62" i="1" a="1"/>
  <c r="K62" i="1" s="1"/>
  <c r="J62" i="1" a="1"/>
  <c r="J62" i="1" s="1"/>
  <c r="A63" i="1"/>
  <c r="I61" i="1"/>
  <c r="M61" i="1" s="1"/>
  <c r="O61" i="1" s="1"/>
  <c r="I62" i="1" l="1"/>
  <c r="A64" i="1"/>
  <c r="K63" i="1" a="1"/>
  <c r="K63" i="1" s="1"/>
  <c r="F63" i="1" a="1"/>
  <c r="F63" i="1" s="1"/>
  <c r="J63" i="1" a="1"/>
  <c r="J63" i="1" s="1"/>
  <c r="G63" i="1" a="1"/>
  <c r="G63" i="1" s="1"/>
  <c r="H62" i="1"/>
  <c r="L61" i="1"/>
  <c r="N61" i="1" s="1"/>
  <c r="L62" i="1" l="1"/>
  <c r="N62" i="1" s="1"/>
  <c r="I63" i="1"/>
  <c r="M62" i="1"/>
  <c r="O62" i="1" s="1"/>
  <c r="H63" i="1"/>
  <c r="L63" i="1" s="1"/>
  <c r="N63" i="1" s="1"/>
  <c r="G64" i="1" a="1"/>
  <c r="G64" i="1" s="1"/>
  <c r="F64" i="1" a="1"/>
  <c r="F64" i="1" s="1"/>
  <c r="K64" i="1" a="1"/>
  <c r="K64" i="1" s="1"/>
  <c r="A65" i="1"/>
  <c r="J64" i="1" a="1"/>
  <c r="J64" i="1" s="1"/>
  <c r="I64" i="1" l="1"/>
  <c r="G65" i="1" a="1"/>
  <c r="G65" i="1" s="1"/>
  <c r="K65" i="1" a="1"/>
  <c r="K65" i="1" s="1"/>
  <c r="A66" i="1"/>
  <c r="J65" i="1" a="1"/>
  <c r="J65" i="1" s="1"/>
  <c r="F65" i="1" a="1"/>
  <c r="F65" i="1" s="1"/>
  <c r="H65" i="1" s="1"/>
  <c r="H64" i="1"/>
  <c r="L64" i="1" s="1"/>
  <c r="N64" i="1" s="1"/>
  <c r="M63" i="1"/>
  <c r="O63" i="1" s="1"/>
  <c r="M64" i="1" l="1"/>
  <c r="O64" i="1" s="1"/>
  <c r="G66" i="1" a="1"/>
  <c r="G66" i="1" s="1"/>
  <c r="J66" i="1" a="1"/>
  <c r="J66" i="1" s="1"/>
  <c r="A67" i="1"/>
  <c r="K66" i="1" a="1"/>
  <c r="K66" i="1" s="1"/>
  <c r="F66" i="1" a="1"/>
  <c r="F66" i="1" s="1"/>
  <c r="H66" i="1" s="1"/>
  <c r="I65" i="1"/>
  <c r="M65" i="1" s="1"/>
  <c r="O65" i="1" s="1"/>
  <c r="L65" i="1" l="1"/>
  <c r="N65" i="1" s="1"/>
  <c r="K67" i="1" a="1"/>
  <c r="K67" i="1" s="1"/>
  <c r="J67" i="1" a="1"/>
  <c r="J67" i="1" s="1"/>
  <c r="A68" i="1"/>
  <c r="G67" i="1" a="1"/>
  <c r="G67" i="1" s="1"/>
  <c r="F67" i="1" a="1"/>
  <c r="F67" i="1" s="1"/>
  <c r="I66" i="1"/>
  <c r="M66" i="1" s="1"/>
  <c r="O66" i="1" s="1"/>
  <c r="I67" i="1" l="1"/>
  <c r="H67" i="1"/>
  <c r="L67" i="1" s="1"/>
  <c r="N67" i="1" s="1"/>
  <c r="J68" i="1" a="1"/>
  <c r="J68" i="1" s="1"/>
  <c r="K68" i="1" a="1"/>
  <c r="K68" i="1" s="1"/>
  <c r="G68" i="1" a="1"/>
  <c r="G68" i="1" s="1"/>
  <c r="A69" i="1"/>
  <c r="F68" i="1" a="1"/>
  <c r="F68" i="1" s="1"/>
  <c r="L66" i="1"/>
  <c r="N66" i="1" s="1"/>
  <c r="I68" i="1" l="1"/>
  <c r="H68" i="1"/>
  <c r="L68" i="1" s="1"/>
  <c r="N68" i="1" s="1"/>
  <c r="J69" i="1" a="1"/>
  <c r="J69" i="1" s="1"/>
  <c r="F69" i="1" a="1"/>
  <c r="F69" i="1" s="1"/>
  <c r="A70" i="1"/>
  <c r="K69" i="1" a="1"/>
  <c r="K69" i="1" s="1"/>
  <c r="G69" i="1" a="1"/>
  <c r="G69" i="1" s="1"/>
  <c r="M68" i="1"/>
  <c r="O68" i="1" s="1"/>
  <c r="M67" i="1"/>
  <c r="O67" i="1" s="1"/>
  <c r="I69" i="1" l="1"/>
  <c r="A71" i="1"/>
  <c r="K70" i="1" a="1"/>
  <c r="K70" i="1" s="1"/>
  <c r="F70" i="1" a="1"/>
  <c r="F70" i="1" s="1"/>
  <c r="J70" i="1" a="1"/>
  <c r="J70" i="1" s="1"/>
  <c r="G70" i="1" a="1"/>
  <c r="G70" i="1" s="1"/>
  <c r="I70" i="1" s="1"/>
  <c r="H69" i="1"/>
  <c r="L69" i="1" s="1"/>
  <c r="N69" i="1" s="1"/>
  <c r="H70" i="1" l="1"/>
  <c r="L70" i="1" s="1"/>
  <c r="N70" i="1" s="1"/>
  <c r="A72" i="1"/>
  <c r="K71" i="1" a="1"/>
  <c r="K71" i="1" s="1"/>
  <c r="F71" i="1" a="1"/>
  <c r="F71" i="1" s="1"/>
  <c r="G71" i="1" a="1"/>
  <c r="G71" i="1" s="1"/>
  <c r="J71" i="1" a="1"/>
  <c r="J71" i="1" s="1"/>
  <c r="M69" i="1"/>
  <c r="O69" i="1" s="1"/>
  <c r="I71" i="1" l="1"/>
  <c r="H71" i="1"/>
  <c r="L71" i="1" s="1"/>
  <c r="N71" i="1" s="1"/>
  <c r="G72" i="1" a="1"/>
  <c r="G72" i="1" s="1"/>
  <c r="A73" i="1"/>
  <c r="K72" i="1" a="1"/>
  <c r="K72" i="1" s="1"/>
  <c r="F72" i="1" a="1"/>
  <c r="F72" i="1" s="1"/>
  <c r="H72" i="1" s="1"/>
  <c r="J72" i="1" a="1"/>
  <c r="J72" i="1" s="1"/>
  <c r="M70" i="1"/>
  <c r="O70" i="1" s="1"/>
  <c r="G73" i="1" l="1" a="1"/>
  <c r="G73" i="1" s="1"/>
  <c r="J73" i="1" a="1"/>
  <c r="J73" i="1" s="1"/>
  <c r="K73" i="1" a="1"/>
  <c r="K73" i="1" s="1"/>
  <c r="A74" i="1"/>
  <c r="F73" i="1" a="1"/>
  <c r="F73" i="1" s="1"/>
  <c r="I72" i="1"/>
  <c r="M72" i="1" s="1"/>
  <c r="O72" i="1" s="1"/>
  <c r="M71" i="1"/>
  <c r="O71" i="1" s="1"/>
  <c r="H73" i="1" l="1"/>
  <c r="G74" i="1" a="1"/>
  <c r="G74" i="1" s="1"/>
  <c r="K74" i="1" a="1"/>
  <c r="K74" i="1" s="1"/>
  <c r="J74" i="1" a="1"/>
  <c r="J74" i="1" s="1"/>
  <c r="A75" i="1"/>
  <c r="F74" i="1" a="1"/>
  <c r="F74" i="1" s="1"/>
  <c r="H74" i="1" s="1"/>
  <c r="L73" i="1"/>
  <c r="N73" i="1" s="1"/>
  <c r="I73" i="1"/>
  <c r="M73" i="1" s="1"/>
  <c r="O73" i="1" s="1"/>
  <c r="L72" i="1"/>
  <c r="N72" i="1" s="1"/>
  <c r="A76" i="1" l="1"/>
  <c r="K75" i="1" a="1"/>
  <c r="K75" i="1" s="1"/>
  <c r="F75" i="1" a="1"/>
  <c r="F75" i="1" s="1"/>
  <c r="G75" i="1" a="1"/>
  <c r="G75" i="1" s="1"/>
  <c r="J75" i="1" a="1"/>
  <c r="J75" i="1" s="1"/>
  <c r="I74" i="1"/>
  <c r="M74" i="1" s="1"/>
  <c r="O74" i="1" s="1"/>
  <c r="I75" i="1" l="1"/>
  <c r="H75" i="1"/>
  <c r="L75" i="1" s="1"/>
  <c r="N75" i="1" s="1"/>
  <c r="J76" i="1" a="1"/>
  <c r="J76" i="1" s="1"/>
  <c r="K76" i="1" a="1"/>
  <c r="K76" i="1" s="1"/>
  <c r="A77" i="1"/>
  <c r="G76" i="1" a="1"/>
  <c r="G76" i="1" s="1"/>
  <c r="F76" i="1" a="1"/>
  <c r="F76" i="1" s="1"/>
  <c r="L74" i="1"/>
  <c r="N74" i="1" s="1"/>
  <c r="H76" i="1" l="1"/>
  <c r="M75" i="1"/>
  <c r="O75" i="1" s="1"/>
  <c r="I76" i="1"/>
  <c r="M76" i="1" s="1"/>
  <c r="O76" i="1" s="1"/>
  <c r="J77" i="1" a="1"/>
  <c r="J77" i="1" s="1"/>
  <c r="G77" i="1" a="1"/>
  <c r="G77" i="1" s="1"/>
  <c r="A78" i="1"/>
  <c r="F77" i="1" a="1"/>
  <c r="F77" i="1" s="1"/>
  <c r="K77" i="1" a="1"/>
  <c r="K77" i="1" s="1"/>
  <c r="H77" i="1" l="1"/>
  <c r="K78" i="1" a="1"/>
  <c r="K78" i="1" s="1"/>
  <c r="K98" i="1" s="1"/>
  <c r="F78" i="1" a="1"/>
  <c r="F78" i="1" s="1"/>
  <c r="J78" i="1" a="1"/>
  <c r="J78" i="1" s="1"/>
  <c r="J98" i="1" s="1"/>
  <c r="G78" i="1" a="1"/>
  <c r="G78" i="1" s="1"/>
  <c r="I77" i="1"/>
  <c r="M77" i="1" s="1"/>
  <c r="O77" i="1" s="1"/>
  <c r="L76" i="1"/>
  <c r="N76" i="1" s="1"/>
  <c r="I78" i="1" l="1"/>
  <c r="G98" i="1"/>
  <c r="H78" i="1"/>
  <c r="F98" i="1"/>
  <c r="L77" i="1"/>
  <c r="N77" i="1" s="1"/>
  <c r="L78" i="1" l="1"/>
  <c r="H98" i="1"/>
  <c r="M78" i="1"/>
  <c r="I98" i="1"/>
  <c r="O78" i="1" l="1"/>
  <c r="O98" i="1" s="1"/>
  <c r="M98" i="1"/>
  <c r="N78" i="1"/>
  <c r="N98" i="1" s="1"/>
  <c r="O99" i="1" s="1"/>
  <c r="L98" i="1"/>
</calcChain>
</file>

<file path=xl/sharedStrings.xml><?xml version="1.0" encoding="utf-8"?>
<sst xmlns="http://schemas.openxmlformats.org/spreadsheetml/2006/main" count="27" uniqueCount="15">
  <si>
    <t>HISTORI AKUN</t>
  </si>
  <si>
    <t>BUMDES MAJU SEJAHTERA MANDIRI</t>
  </si>
  <si>
    <t xml:space="preserve">PER JANUARI 2026 </t>
  </si>
  <si>
    <t>Unit Usaha</t>
  </si>
  <si>
    <t>Kode Akun</t>
  </si>
  <si>
    <t>Nama Akun</t>
  </si>
  <si>
    <t>Saldo Awal</t>
  </si>
  <si>
    <t>Transaksi Berjalan</t>
  </si>
  <si>
    <t>Saldo Sebelum Disesuaikan</t>
  </si>
  <si>
    <t>Jurnal Penyesuaian</t>
  </si>
  <si>
    <t>Saldo Setelah Disesuaikan</t>
  </si>
  <si>
    <t>Laba Rugi</t>
  </si>
  <si>
    <t>Neraca</t>
  </si>
  <si>
    <t>Debit (Rp)</t>
  </si>
  <si>
    <t>Kredit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</si>
</sst>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yyyy"/>
  </numFmts>
  <fonts count="7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/>
    <xf numFmtId="4" fontId="2" fillId="2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4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164" fontId="4" fillId="0" borderId="5" xfId="0" applyNumberFormat="1" applyFont="1" applyBorder="1" applyAlignment="1">
      <alignment horizontal="center"/>
    </xf>
    <xf numFmtId="0" fontId="6" fillId="0" borderId="5" xfId="0" applyFont="1" applyBorder="1"/>
    <xf numFmtId="3" fontId="5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3" fontId="1" fillId="0" borderId="5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imulasi%20BUDAYA%2001%20(1).xlsx" TargetMode="External"/><Relationship Id="rId2" Type="http://schemas.openxmlformats.org/officeDocument/2006/relationships/externalLinkPath" Target="/Users/luqmanaffandi/Downloads/Simulasi%20BUDAYA%2001%20(1).xlsx" TargetMode="External"/><Relationship Id="rId1" Type="http://schemas.openxmlformats.org/officeDocument/2006/relationships/externalLinkPath" Target="/Users/luqmanaffandi/Downloads/Simulasi%20BUDAYA%2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Menu"/>
      <sheetName val="Profil BUMDes"/>
      <sheetName val="Hak Akses"/>
      <sheetName val="Master Data"/>
      <sheetName val="CoA"/>
      <sheetName val="Mapping Transaksi Rutin"/>
      <sheetName val="Mapping Transaksi Non Rutin"/>
      <sheetName val="Mapping Transaksi Lainnya"/>
      <sheetName val="Mapping Jurnal Penyesuaian"/>
      <sheetName val="Saldo Awal"/>
      <sheetName val="Input Transaksi"/>
      <sheetName val="Jurnal"/>
      <sheetName val="Buku Pembantu - Piutang"/>
      <sheetName val="Buku Pembantu - Utang"/>
      <sheetName val="Kartu Persediaan"/>
      <sheetName val="Kartu Aset Tetap"/>
      <sheetName val="Jurnal Penyesuaian"/>
      <sheetName val="Histori Akun"/>
      <sheetName val="Neraca Saldo Setelah Disesuaika"/>
      <sheetName val="Lap Laba Rugi"/>
      <sheetName val="Laporan Penyertaan Modal"/>
      <sheetName val="Laporan Perubahan Modal"/>
      <sheetName val="Neraca"/>
      <sheetName val="Laporan Arus Kas"/>
      <sheetName val="Rasio Keuangan"/>
      <sheetName val="BMC- Analisa Kelayakan Usa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29">
          <cell r="E129" t="str">
            <v>Kode Akun</v>
          </cell>
          <cell r="F129" t="str">
            <v>Nama Akun</v>
          </cell>
          <cell r="G129" t="str">
            <v>Debit</v>
          </cell>
          <cell r="H129" t="str">
            <v>Kredit</v>
          </cell>
        </row>
        <row r="130">
          <cell r="E130">
            <v>-657403</v>
          </cell>
          <cell r="F130" t="str">
            <v>Utang Usaha</v>
          </cell>
          <cell r="G130" t="e">
            <v>#NAME?</v>
          </cell>
          <cell r="H130">
            <v>2100000</v>
          </cell>
        </row>
        <row r="131">
          <cell r="E131">
            <v>-620879</v>
          </cell>
          <cell r="F131" t="str">
            <v>Utang Gaji/Upah</v>
          </cell>
          <cell r="G131" t="e">
            <v>#NAME?</v>
          </cell>
          <cell r="H131">
            <v>0</v>
          </cell>
        </row>
        <row r="132">
          <cell r="E132">
            <v>-584355</v>
          </cell>
          <cell r="F132" t="str">
            <v>Utang Pajak</v>
          </cell>
          <cell r="G132" t="e">
            <v>#NAME?</v>
          </cell>
          <cell r="H132">
            <v>0</v>
          </cell>
        </row>
        <row r="133">
          <cell r="E133">
            <v>-547831</v>
          </cell>
          <cell r="F133" t="str">
            <v>Utang Utilitas</v>
          </cell>
          <cell r="G133" t="e">
            <v>#NAME?</v>
          </cell>
          <cell r="H133">
            <v>0</v>
          </cell>
        </row>
        <row r="134">
          <cell r="E134">
            <v>-511306</v>
          </cell>
          <cell r="F134" t="str">
            <v>Utang Jangka Pendek Lainnya</v>
          </cell>
          <cell r="G134" t="e">
            <v>#NAME?</v>
          </cell>
          <cell r="H134">
            <v>0</v>
          </cell>
        </row>
        <row r="135">
          <cell r="E135">
            <v>-292161</v>
          </cell>
          <cell r="F135" t="str">
            <v>Utang Bank Jangka Panjang</v>
          </cell>
          <cell r="G135" t="e">
            <v>#NAME?</v>
          </cell>
          <cell r="H135">
            <v>0</v>
          </cell>
        </row>
        <row r="136">
          <cell r="E136">
            <v>-292133</v>
          </cell>
          <cell r="F136" t="str">
            <v>Penyertaan Modal Desa</v>
          </cell>
          <cell r="G136" t="e">
            <v>#NAME?</v>
          </cell>
          <cell r="H136">
            <v>300000000</v>
          </cell>
        </row>
        <row r="137">
          <cell r="E137">
            <v>-292102</v>
          </cell>
          <cell r="F137" t="str">
            <v>Pendapatan Penjualan Barang Dagangan</v>
          </cell>
          <cell r="G137" t="e">
            <v>#NAME?</v>
          </cell>
          <cell r="H137">
            <v>0</v>
          </cell>
        </row>
        <row r="138">
          <cell r="E138">
            <v>-292072</v>
          </cell>
          <cell r="F138" t="str">
            <v>HPP Barang Dagangan</v>
          </cell>
          <cell r="G138" t="e">
            <v>#NAME?</v>
          </cell>
          <cell r="H138">
            <v>0</v>
          </cell>
        </row>
        <row r="139">
          <cell r="E139">
            <v>-288540</v>
          </cell>
          <cell r="F139" t="str">
            <v>Kas</v>
          </cell>
          <cell r="G139" t="e">
            <v>#NAME?</v>
          </cell>
          <cell r="H139">
            <v>0</v>
          </cell>
        </row>
        <row r="140">
          <cell r="E140">
            <v>-255637</v>
          </cell>
          <cell r="F140" t="str">
            <v>Utang Pihak Ketiga Jangka Panjang</v>
          </cell>
          <cell r="G140" t="e">
            <v>#NAME?</v>
          </cell>
          <cell r="H140">
            <v>0</v>
          </cell>
        </row>
        <row r="141">
          <cell r="E141">
            <v>-255608</v>
          </cell>
          <cell r="F141" t="str">
            <v>Penyertaan Modal Masyarakat</v>
          </cell>
          <cell r="G141" t="e">
            <v>#NAME?</v>
          </cell>
          <cell r="H141">
            <v>353721000</v>
          </cell>
        </row>
        <row r="142">
          <cell r="E142">
            <v>-255577</v>
          </cell>
          <cell r="F142" t="str">
            <v>Pendapatan Penjualan Hasil Produksi</v>
          </cell>
          <cell r="G142" t="e">
            <v>#NAME?</v>
          </cell>
          <cell r="H142">
            <v>0</v>
          </cell>
        </row>
        <row r="143">
          <cell r="E143">
            <v>-255547</v>
          </cell>
          <cell r="F143" t="str">
            <v>HPP Barang Jadi / Hasil Produksi</v>
          </cell>
          <cell r="G143" t="e">
            <v>#NAME?</v>
          </cell>
          <cell r="H143">
            <v>0</v>
          </cell>
        </row>
        <row r="144">
          <cell r="E144">
            <v>-252015</v>
          </cell>
          <cell r="F144" t="str">
            <v>Bank BRI</v>
          </cell>
          <cell r="G144" t="e">
            <v>#NAME?</v>
          </cell>
          <cell r="H144">
            <v>0</v>
          </cell>
        </row>
        <row r="145">
          <cell r="E145">
            <v>-251650</v>
          </cell>
          <cell r="F145" t="str">
            <v>Bank Jatim</v>
          </cell>
          <cell r="G145" t="e">
            <v>#NAME?</v>
          </cell>
          <cell r="H145">
            <v>0</v>
          </cell>
        </row>
        <row r="146">
          <cell r="E146">
            <v>-251285</v>
          </cell>
          <cell r="F146" t="str">
            <v>Bank Mandiri</v>
          </cell>
          <cell r="G146" t="e">
            <v>#NAME?</v>
          </cell>
          <cell r="H146">
            <v>0</v>
          </cell>
        </row>
        <row r="147">
          <cell r="E147">
            <v>-219112</v>
          </cell>
          <cell r="F147" t="str">
            <v>Utang Jangka Panjang Lainnya</v>
          </cell>
          <cell r="G147" t="e">
            <v>#NAME?</v>
          </cell>
          <cell r="H147">
            <v>0</v>
          </cell>
        </row>
        <row r="148">
          <cell r="E148">
            <v>-219084</v>
          </cell>
          <cell r="F148" t="str">
            <v>Penyertaan Modal Bantuan Pemerintah/BKK</v>
          </cell>
          <cell r="G148" t="e">
            <v>#NAME?</v>
          </cell>
          <cell r="H148">
            <v>0</v>
          </cell>
        </row>
        <row r="149">
          <cell r="E149">
            <v>-219053</v>
          </cell>
          <cell r="F149" t="str">
            <v>Pendapatan Jasa</v>
          </cell>
          <cell r="G149" t="e">
            <v>#NAME?</v>
          </cell>
          <cell r="H149">
            <v>0</v>
          </cell>
        </row>
        <row r="150">
          <cell r="E150">
            <v>-215491</v>
          </cell>
          <cell r="F150" t="str">
            <v>Piutang Usaha</v>
          </cell>
          <cell r="G150" t="e">
            <v>#NAME?</v>
          </cell>
          <cell r="H150">
            <v>0</v>
          </cell>
        </row>
        <row r="151">
          <cell r="E151">
            <v>-211839</v>
          </cell>
          <cell r="F151" t="str">
            <v>Penyisihan Piutang Tak Tertagih</v>
          </cell>
          <cell r="G151" t="e">
            <v>#NAME?</v>
          </cell>
          <cell r="H151">
            <v>0</v>
          </cell>
        </row>
        <row r="152">
          <cell r="E152">
            <v>-182560</v>
          </cell>
          <cell r="F152" t="str">
            <v>Tambahan Penyertaan Modal</v>
          </cell>
          <cell r="G152" t="e">
            <v>#NAME?</v>
          </cell>
          <cell r="H152">
            <v>0</v>
          </cell>
        </row>
        <row r="153">
          <cell r="E153">
            <v>-182529</v>
          </cell>
          <cell r="F153" t="str">
            <v>Pendapatan Sewa</v>
          </cell>
          <cell r="G153" t="e">
            <v>#NAME?</v>
          </cell>
          <cell r="H153">
            <v>0</v>
          </cell>
        </row>
        <row r="154">
          <cell r="E154">
            <v>-178967</v>
          </cell>
          <cell r="F154" t="str">
            <v>Persediaan Barang Dagangan</v>
          </cell>
          <cell r="G154" t="e">
            <v>#NAME?</v>
          </cell>
          <cell r="H154">
            <v>0</v>
          </cell>
        </row>
        <row r="155">
          <cell r="E155">
            <v>-175315</v>
          </cell>
          <cell r="F155" t="str">
            <v>Persediaan Barang Jadi</v>
          </cell>
          <cell r="G155" t="e">
            <v>#NAME?</v>
          </cell>
          <cell r="H155">
            <v>0</v>
          </cell>
        </row>
        <row r="156">
          <cell r="E156">
            <v>-168010</v>
          </cell>
          <cell r="F156" t="str">
            <v>Persediaan Lainnya</v>
          </cell>
          <cell r="G156" t="e">
            <v>#NAME?</v>
          </cell>
          <cell r="H156">
            <v>0</v>
          </cell>
        </row>
        <row r="157">
          <cell r="E157">
            <v>-146036</v>
          </cell>
          <cell r="F157" t="str">
            <v>Laba Ditahan</v>
          </cell>
          <cell r="G157" t="e">
            <v>#NAME?</v>
          </cell>
          <cell r="H157">
            <v>200000000</v>
          </cell>
        </row>
        <row r="158">
          <cell r="E158">
            <v>-146005</v>
          </cell>
          <cell r="F158" t="str">
            <v>Pendapatan Denda</v>
          </cell>
          <cell r="G158" t="e">
            <v>#NAME?</v>
          </cell>
          <cell r="H158">
            <v>0</v>
          </cell>
        </row>
        <row r="159">
          <cell r="E159">
            <v>-142443</v>
          </cell>
          <cell r="F159" t="str">
            <v>Perlengkapan</v>
          </cell>
          <cell r="G159" t="e">
            <v>#NAME?</v>
          </cell>
          <cell r="H159">
            <v>0</v>
          </cell>
        </row>
        <row r="160">
          <cell r="E160">
            <v>-138791</v>
          </cell>
          <cell r="F160" t="str">
            <v>Biaya Dibayar di Muka</v>
          </cell>
          <cell r="G160" t="e">
            <v>#NAME?</v>
          </cell>
          <cell r="H160">
            <v>0</v>
          </cell>
        </row>
        <row r="161">
          <cell r="E161">
            <v>-135138</v>
          </cell>
          <cell r="F161" t="str">
            <v>Aset Lancar Lainnya</v>
          </cell>
          <cell r="G161" t="e">
            <v>#NAME?</v>
          </cell>
          <cell r="H161">
            <v>0</v>
          </cell>
        </row>
        <row r="162">
          <cell r="E162">
            <v>-109511</v>
          </cell>
          <cell r="F162" t="str">
            <v>Laba/Rugi Tahun Berjalan</v>
          </cell>
          <cell r="G162" t="e">
            <v>#NAME?</v>
          </cell>
          <cell r="H162">
            <v>0</v>
          </cell>
        </row>
        <row r="163">
          <cell r="E163">
            <v>-109480</v>
          </cell>
          <cell r="F163" t="str">
            <v>Pendapatan Operasional Lainnya</v>
          </cell>
          <cell r="G163" t="e">
            <v>#NAME?</v>
          </cell>
          <cell r="H163">
            <v>0</v>
          </cell>
        </row>
        <row r="164">
          <cell r="E164">
            <v>-72987</v>
          </cell>
          <cell r="F164" t="str">
            <v>Bagi Hasil untuk Desa</v>
          </cell>
          <cell r="G164" t="e">
            <v>#NAME?</v>
          </cell>
          <cell r="H164">
            <v>0</v>
          </cell>
        </row>
        <row r="165">
          <cell r="E165">
            <v>-36463</v>
          </cell>
          <cell r="F165" t="str">
            <v>Bagi Hasil untuk Masyarakat</v>
          </cell>
          <cell r="G165" t="e">
            <v>#NAME?</v>
          </cell>
          <cell r="H165">
            <v>0</v>
          </cell>
        </row>
        <row r="166">
          <cell r="E166">
            <v>61</v>
          </cell>
          <cell r="F166" t="str">
            <v>Ekuitas Lainnya</v>
          </cell>
          <cell r="G166" t="e">
            <v>#NAME?</v>
          </cell>
          <cell r="H166">
            <v>0</v>
          </cell>
        </row>
        <row r="167">
          <cell r="E167">
            <v>40179</v>
          </cell>
          <cell r="F167" t="str">
            <v>Tanah</v>
          </cell>
          <cell r="G167" t="e">
            <v>#NAME?</v>
          </cell>
          <cell r="H167">
            <v>0</v>
          </cell>
        </row>
        <row r="168">
          <cell r="E168">
            <v>43831</v>
          </cell>
          <cell r="F168" t="str">
            <v>Bangunan</v>
          </cell>
          <cell r="G168" t="e">
            <v>#NAME?</v>
          </cell>
          <cell r="H168">
            <v>0</v>
          </cell>
        </row>
        <row r="169">
          <cell r="E169">
            <v>47484</v>
          </cell>
          <cell r="F169" t="str">
            <v>Kendaraan</v>
          </cell>
          <cell r="G169" t="e">
            <v>#NAME?</v>
          </cell>
          <cell r="H169">
            <v>0</v>
          </cell>
        </row>
        <row r="170">
          <cell r="E170">
            <v>51136</v>
          </cell>
          <cell r="F170" t="str">
            <v>Peralatan dan Mesin</v>
          </cell>
          <cell r="G170" t="e">
            <v>#NAME?</v>
          </cell>
          <cell r="H170">
            <v>0</v>
          </cell>
        </row>
        <row r="171">
          <cell r="E171">
            <v>54789</v>
          </cell>
          <cell r="F171" t="str">
            <v>Meubelair/Inventaris</v>
          </cell>
          <cell r="G171" t="e">
            <v>#NAME?</v>
          </cell>
          <cell r="H171">
            <v>0</v>
          </cell>
        </row>
        <row r="172">
          <cell r="E172">
            <v>58441</v>
          </cell>
          <cell r="F172" t="str">
            <v>Aset Tetap Lainnya</v>
          </cell>
          <cell r="G172" t="e">
            <v>#NAME?</v>
          </cell>
          <cell r="H172">
            <v>0</v>
          </cell>
        </row>
        <row r="173">
          <cell r="E173">
            <v>69764</v>
          </cell>
          <cell r="F173" t="str">
            <v>Akumulasi Penyusutan Bangunan</v>
          </cell>
          <cell r="G173" t="e">
            <v>#NAME?</v>
          </cell>
          <cell r="H173">
            <v>0</v>
          </cell>
        </row>
        <row r="174">
          <cell r="E174">
            <v>70129</v>
          </cell>
          <cell r="F174" t="str">
            <v>Akumulasi Penyusutan Kendaraan</v>
          </cell>
          <cell r="G174" t="e">
            <v>#NAME?</v>
          </cell>
          <cell r="H174">
            <v>0</v>
          </cell>
        </row>
        <row r="175">
          <cell r="E175">
            <v>70495</v>
          </cell>
          <cell r="F175" t="str">
            <v>Akumulasi Penyusutan Peralatan dan Mesin</v>
          </cell>
          <cell r="G175" t="e">
            <v>#NAME?</v>
          </cell>
          <cell r="H175">
            <v>0</v>
          </cell>
        </row>
        <row r="176">
          <cell r="E176">
            <v>70860</v>
          </cell>
          <cell r="F176" t="str">
            <v>Akumulasi Penyusutan Meubelair/Inventaris</v>
          </cell>
          <cell r="G176" t="e">
            <v>#NAME?</v>
          </cell>
          <cell r="H176">
            <v>0</v>
          </cell>
        </row>
        <row r="177">
          <cell r="E177">
            <v>71225</v>
          </cell>
          <cell r="F177" t="str">
            <v>Akumulasi Penyusutan Aset Tetap Lainnya</v>
          </cell>
          <cell r="G177" t="e">
            <v>#NAME?</v>
          </cell>
          <cell r="H177">
            <v>0</v>
          </cell>
        </row>
        <row r="178">
          <cell r="E178">
            <v>73141</v>
          </cell>
          <cell r="F178" t="str">
            <v>Pendapatan Bunga Bank</v>
          </cell>
          <cell r="G178" t="e">
            <v>#NAME?</v>
          </cell>
          <cell r="H178">
            <v>0</v>
          </cell>
        </row>
        <row r="179">
          <cell r="E179">
            <v>109665</v>
          </cell>
          <cell r="F179" t="str">
            <v>Laba Penjualan Aset Tetap</v>
          </cell>
          <cell r="G179" t="e">
            <v>#NAME?</v>
          </cell>
          <cell r="H179">
            <v>0</v>
          </cell>
        </row>
        <row r="180">
          <cell r="E180">
            <v>113712</v>
          </cell>
          <cell r="F180" t="str">
            <v>Beban Operasional Minimarket Desa Mart</v>
          </cell>
          <cell r="G180" t="e">
            <v>#NAME?</v>
          </cell>
          <cell r="H180">
            <v>0</v>
          </cell>
        </row>
        <row r="181">
          <cell r="E181">
            <v>146189</v>
          </cell>
          <cell r="F181" t="str">
            <v>Pendapatan Lain-lain Non-Operasional</v>
          </cell>
          <cell r="G181" t="e">
            <v>#NAME?</v>
          </cell>
          <cell r="H181">
            <v>0</v>
          </cell>
        </row>
        <row r="182">
          <cell r="E182">
            <v>405421</v>
          </cell>
          <cell r="F182" t="str">
            <v>Investasi Jangka Panjang</v>
          </cell>
          <cell r="G182" t="e">
            <v>#NAME?</v>
          </cell>
          <cell r="H182">
            <v>0</v>
          </cell>
        </row>
        <row r="183">
          <cell r="E183">
            <v>409073</v>
          </cell>
          <cell r="F183" t="str">
            <v>Aset Tak Berwujud</v>
          </cell>
          <cell r="G183" t="e">
            <v>#NAME?</v>
          </cell>
          <cell r="H183">
            <v>0</v>
          </cell>
        </row>
        <row r="184">
          <cell r="E184">
            <v>434641</v>
          </cell>
          <cell r="F184" t="str">
            <v>Akumulasi Amortisasi Aset Tak Berwujud</v>
          </cell>
          <cell r="G184" t="e">
            <v>#NAME?</v>
          </cell>
          <cell r="H184">
            <v>0</v>
          </cell>
        </row>
        <row r="185">
          <cell r="E185" t="str">
            <v>5-2100</v>
          </cell>
          <cell r="F185" t="str">
            <v>Beban Produksi Langsung</v>
          </cell>
          <cell r="G185" t="e">
            <v>#NAME?</v>
          </cell>
          <cell r="H185">
            <v>0</v>
          </cell>
        </row>
        <row r="186">
          <cell r="E186" t="str">
            <v>5-2210</v>
          </cell>
          <cell r="F186" t="str">
            <v>Beban Operasional Peternakan Ayam Petelur</v>
          </cell>
          <cell r="G186" t="e">
            <v>#NAME?</v>
          </cell>
          <cell r="H186">
            <v>0</v>
          </cell>
        </row>
        <row r="187">
          <cell r="E187" t="str">
            <v>5-2212</v>
          </cell>
          <cell r="F187" t="str">
            <v>Beban Operasional Layanan Jasa Desa Prima</v>
          </cell>
          <cell r="G187" t="e">
            <v>#NAME?</v>
          </cell>
          <cell r="H187">
            <v>0</v>
          </cell>
        </row>
        <row r="188">
          <cell r="E188" t="str">
            <v>5-2300</v>
          </cell>
          <cell r="F188" t="str">
            <v>Beban Pegawai</v>
          </cell>
          <cell r="G188" t="e">
            <v>#NAME?</v>
          </cell>
          <cell r="H188">
            <v>0</v>
          </cell>
        </row>
        <row r="189">
          <cell r="E189" t="str">
            <v>5-2400</v>
          </cell>
          <cell r="F189" t="str">
            <v>Beban Administrasi dan Umum</v>
          </cell>
          <cell r="G189" t="e">
            <v>#NAME?</v>
          </cell>
          <cell r="H189">
            <v>0</v>
          </cell>
        </row>
        <row r="190">
          <cell r="E190" t="str">
            <v>5-2500</v>
          </cell>
          <cell r="F190" t="str">
            <v>Beban Utilitas</v>
          </cell>
          <cell r="G190" t="e">
            <v>#NAME?</v>
          </cell>
          <cell r="H190">
            <v>0</v>
          </cell>
        </row>
        <row r="191">
          <cell r="E191" t="str">
            <v>5-2600</v>
          </cell>
          <cell r="F191" t="str">
            <v>Beban Pemeliharaan dan Perbaikan</v>
          </cell>
          <cell r="G191" t="e">
            <v>#NAME?</v>
          </cell>
          <cell r="H191">
            <v>0</v>
          </cell>
        </row>
        <row r="192">
          <cell r="E192" t="str">
            <v>5-2700</v>
          </cell>
          <cell r="F192" t="str">
            <v>Beban Perlengkapan</v>
          </cell>
          <cell r="G192" t="e">
            <v>#NAME?</v>
          </cell>
          <cell r="H192">
            <v>0</v>
          </cell>
        </row>
        <row r="193">
          <cell r="E193" t="str">
            <v>5-2800</v>
          </cell>
          <cell r="F193" t="str">
            <v>Beban Sewa dan Asuransi</v>
          </cell>
          <cell r="G193" t="e">
            <v>#NAME?</v>
          </cell>
          <cell r="H193">
            <v>0</v>
          </cell>
        </row>
        <row r="194">
          <cell r="E194" t="str">
            <v>5-2900</v>
          </cell>
          <cell r="F194" t="str">
            <v>Beban Penyusutan</v>
          </cell>
          <cell r="G194" t="e">
            <v>#NAME?</v>
          </cell>
          <cell r="H194">
            <v>0</v>
          </cell>
        </row>
        <row r="195">
          <cell r="E195" t="str">
            <v>5-3000</v>
          </cell>
          <cell r="F195" t="str">
            <v>Beban Pajak</v>
          </cell>
          <cell r="G195" t="e">
            <v>#NAME?</v>
          </cell>
          <cell r="H195">
            <v>0</v>
          </cell>
        </row>
        <row r="196">
          <cell r="E196" t="str">
            <v>5-3100</v>
          </cell>
          <cell r="F196" t="str">
            <v>Beban Operasional Lainnya</v>
          </cell>
          <cell r="G196" t="e">
            <v>#NAME?</v>
          </cell>
          <cell r="H196">
            <v>0</v>
          </cell>
        </row>
        <row r="197">
          <cell r="E197" t="str">
            <v>5-3201</v>
          </cell>
          <cell r="F197" t="str">
            <v>Beban Bank</v>
          </cell>
          <cell r="G197" t="e">
            <v>#NAME?</v>
          </cell>
          <cell r="H197">
            <v>0</v>
          </cell>
        </row>
        <row r="198">
          <cell r="E198" t="str">
            <v>5-3202</v>
          </cell>
          <cell r="F198" t="str">
            <v>Beban Bunga</v>
          </cell>
          <cell r="G198" t="e">
            <v>#NAME?</v>
          </cell>
          <cell r="H198">
            <v>0</v>
          </cell>
        </row>
        <row r="199">
          <cell r="E199" t="str">
            <v>5-3203</v>
          </cell>
          <cell r="F199" t="str">
            <v>Beban Denda</v>
          </cell>
          <cell r="G199" t="e">
            <v>#NAME?</v>
          </cell>
          <cell r="H199">
            <v>0</v>
          </cell>
        </row>
        <row r="200">
          <cell r="E200" t="str">
            <v>5-3204</v>
          </cell>
          <cell r="F200" t="str">
            <v>Rugi Penjualan Aset Tetap</v>
          </cell>
          <cell r="G200" t="e">
            <v>#NAME?</v>
          </cell>
          <cell r="H200">
            <v>0</v>
          </cell>
        </row>
        <row r="201">
          <cell r="E201" t="str">
            <v>5-3205</v>
          </cell>
          <cell r="F201" t="str">
            <v>Beban Lain-lain Non-Operasional</v>
          </cell>
          <cell r="G201" t="e">
            <v>#NAME?</v>
          </cell>
          <cell r="H201">
            <v>0</v>
          </cell>
        </row>
      </sheetData>
      <sheetData sheetId="10"/>
      <sheetData sheetId="11">
        <row r="132">
          <cell r="A132" t="str">
            <v>Unit Usaha</v>
          </cell>
          <cell r="B132" t="str">
            <v>Kode Akun</v>
          </cell>
          <cell r="C132" t="str">
            <v>Nama Akun</v>
          </cell>
          <cell r="D132" t="str">
            <v>Debit</v>
          </cell>
          <cell r="E132" t="str">
            <v>Kredit</v>
          </cell>
        </row>
        <row r="133">
          <cell r="A133" t="str">
            <v>Peternakan Telur Sejahtera</v>
          </cell>
          <cell r="B133" t="str">
            <v>1-1110</v>
          </cell>
          <cell r="C133" t="str">
            <v>Kas</v>
          </cell>
          <cell r="D133">
            <v>18800000</v>
          </cell>
          <cell r="E133">
            <v>45775000</v>
          </cell>
        </row>
        <row r="134">
          <cell r="A134" t="str">
            <v>Peternakan Telur Sejahtera</v>
          </cell>
          <cell r="B134" t="str">
            <v>1-1210</v>
          </cell>
          <cell r="C134" t="str">
            <v>Bank BRI</v>
          </cell>
          <cell r="D134">
            <v>18600000</v>
          </cell>
          <cell r="E134">
            <v>0</v>
          </cell>
        </row>
        <row r="135">
          <cell r="A135" t="str">
            <v>Peternakan Telur Sejahtera</v>
          </cell>
          <cell r="B135" t="str">
            <v>1-1420</v>
          </cell>
          <cell r="C135" t="str">
            <v>Persediaan Barang Jadi</v>
          </cell>
          <cell r="D135">
            <v>0</v>
          </cell>
          <cell r="E135">
            <v>4238281.0841694092</v>
          </cell>
        </row>
        <row r="136">
          <cell r="A136" t="str">
            <v>Peternakan Telur Sejahtera</v>
          </cell>
          <cell r="B136" t="str">
            <v>1-2020</v>
          </cell>
          <cell r="C136" t="str">
            <v>Bangunan</v>
          </cell>
          <cell r="D136">
            <v>25000000</v>
          </cell>
          <cell r="E136">
            <v>54000000</v>
          </cell>
        </row>
        <row r="137">
          <cell r="A137" t="str">
            <v>Peternakan Telur Sejahtera</v>
          </cell>
          <cell r="B137" t="str">
            <v>1-2040</v>
          </cell>
          <cell r="C137" t="str">
            <v>Peralatan dan Mesin</v>
          </cell>
          <cell r="D137">
            <v>7500000</v>
          </cell>
          <cell r="E137">
            <v>0</v>
          </cell>
        </row>
        <row r="138">
          <cell r="A138" t="str">
            <v>Peternakan Telur Sejahtera</v>
          </cell>
          <cell r="B138" t="str">
            <v>1-2091</v>
          </cell>
          <cell r="C138" t="str">
            <v>Akumulasi Penyusutan Bangunan</v>
          </cell>
          <cell r="D138">
            <v>2925000</v>
          </cell>
          <cell r="E138">
            <v>0</v>
          </cell>
        </row>
        <row r="139">
          <cell r="A139" t="str">
            <v>Peternakan Telur Sejahtera</v>
          </cell>
          <cell r="B139" t="str">
            <v>2-0100</v>
          </cell>
          <cell r="C139" t="str">
            <v>Utang Usaha</v>
          </cell>
          <cell r="D139">
            <v>950000</v>
          </cell>
          <cell r="E139">
            <v>950000</v>
          </cell>
        </row>
        <row r="140">
          <cell r="A140" t="str">
            <v>Peternakan Telur Sejahtera</v>
          </cell>
          <cell r="B140" t="str">
            <v>3-1100</v>
          </cell>
          <cell r="C140" t="str">
            <v>Penyertaan Modal Desa</v>
          </cell>
          <cell r="D140">
            <v>0</v>
          </cell>
          <cell r="E140">
            <v>15000000</v>
          </cell>
        </row>
        <row r="141">
          <cell r="A141" t="str">
            <v>Peternakan Telur Sejahtera</v>
          </cell>
          <cell r="B141" t="str">
            <v>3-1700</v>
          </cell>
          <cell r="C141" t="str">
            <v>Bagi Hasil untuk Desa</v>
          </cell>
          <cell r="D141">
            <v>2000000</v>
          </cell>
          <cell r="E141">
            <v>0</v>
          </cell>
        </row>
        <row r="142">
          <cell r="A142" t="str">
            <v>Peternakan Telur Sejahtera</v>
          </cell>
          <cell r="B142" t="str">
            <v>4-1200</v>
          </cell>
          <cell r="C142" t="str">
            <v>Pendapatan Penjualan Hasil Produksi</v>
          </cell>
          <cell r="D142">
            <v>0</v>
          </cell>
          <cell r="E142">
            <v>9900000</v>
          </cell>
        </row>
        <row r="143">
          <cell r="A143" t="str">
            <v>Peternakan Telur Sejahtera</v>
          </cell>
          <cell r="B143" t="str">
            <v>5-1200</v>
          </cell>
          <cell r="C143" t="str">
            <v>HPP Barang Jadi / Hasil Produksi</v>
          </cell>
          <cell r="D143">
            <v>4238281.0841694092</v>
          </cell>
          <cell r="E143">
            <v>0</v>
          </cell>
        </row>
        <row r="144">
          <cell r="A144" t="str">
            <v>Peternakan Telur Sejahtera</v>
          </cell>
          <cell r="B144" t="str">
            <v>5-2100</v>
          </cell>
          <cell r="C144" t="str">
            <v>Beban Produksi Langsung</v>
          </cell>
          <cell r="D144">
            <v>2300000</v>
          </cell>
          <cell r="E144">
            <v>0</v>
          </cell>
        </row>
        <row r="145">
          <cell r="A145" t="str">
            <v>Peternakan Telur Sejahtera</v>
          </cell>
          <cell r="B145" t="str">
            <v>5-2210</v>
          </cell>
          <cell r="C145" t="str">
            <v>Beban Operasional Peternakan Ayam Petelur</v>
          </cell>
          <cell r="D145">
            <v>7275000</v>
          </cell>
          <cell r="E145">
            <v>0</v>
          </cell>
        </row>
        <row r="146">
          <cell r="A146" t="str">
            <v>Peternakan Telur Sejahtera</v>
          </cell>
          <cell r="B146" t="str">
            <v>5-2300</v>
          </cell>
          <cell r="C146" t="str">
            <v>Beban Pegawai</v>
          </cell>
          <cell r="D146">
            <v>550000</v>
          </cell>
          <cell r="E146">
            <v>0</v>
          </cell>
        </row>
        <row r="147">
          <cell r="A147" t="str">
            <v>Peternakan Telur Sejahtera</v>
          </cell>
          <cell r="B147" t="str">
            <v>5-2400</v>
          </cell>
          <cell r="C147" t="str">
            <v>Beban Administrasi dan Umum</v>
          </cell>
          <cell r="D147">
            <v>650000</v>
          </cell>
          <cell r="E147">
            <v>0</v>
          </cell>
        </row>
        <row r="148">
          <cell r="A148" t="str">
            <v>Peternakan Telur Sejahtera</v>
          </cell>
          <cell r="B148" t="str">
            <v>5-2800</v>
          </cell>
          <cell r="C148" t="str">
            <v>Beban Sewa dan Asuransi</v>
          </cell>
          <cell r="D148">
            <v>500000</v>
          </cell>
          <cell r="E148">
            <v>0</v>
          </cell>
        </row>
        <row r="149">
          <cell r="A149" t="str">
            <v>Peternakan Telur Sejahtera</v>
          </cell>
          <cell r="B149" t="str">
            <v>5-3204</v>
          </cell>
          <cell r="C149" t="str">
            <v>Rugi Penjualan Aset Tetap</v>
          </cell>
          <cell r="D149">
            <v>38575000</v>
          </cell>
          <cell r="E149">
            <v>0</v>
          </cell>
        </row>
        <row r="150">
          <cell r="B150" t="str">
            <v>Akun D</v>
          </cell>
          <cell r="D150">
            <v>129863281.0841694</v>
          </cell>
        </row>
        <row r="151">
          <cell r="B151" t="str">
            <v>Akun K</v>
          </cell>
          <cell r="E151">
            <v>129863281.08416942</v>
          </cell>
        </row>
      </sheetData>
      <sheetData sheetId="12"/>
      <sheetData sheetId="13"/>
      <sheetData sheetId="14"/>
      <sheetData sheetId="15"/>
      <sheetData sheetId="16">
        <row r="4">
          <cell r="B4" t="str">
            <v>Peternakan Telur Sejahtera</v>
          </cell>
        </row>
        <row r="36">
          <cell r="A36" t="str">
            <v>Unit Usaha</v>
          </cell>
          <cell r="B36" t="str">
            <v>Kode Akun</v>
          </cell>
          <cell r="C36" t="str">
            <v>Nama Akun</v>
          </cell>
          <cell r="D36" t="str">
            <v>Debit</v>
          </cell>
          <cell r="E36" t="str">
            <v>Kredit</v>
          </cell>
        </row>
        <row r="37">
          <cell r="A37" t="str">
            <v>Peternakan Telur Sejahtera</v>
          </cell>
          <cell r="B37" t="str">
            <v>1-1420</v>
          </cell>
          <cell r="C37" t="str">
            <v>Persediaan Barang Jadi</v>
          </cell>
          <cell r="D37">
            <v>6500000</v>
          </cell>
          <cell r="E37">
            <v>146279.71551071879</v>
          </cell>
        </row>
        <row r="38">
          <cell r="A38" t="str">
            <v>Peternakan Telur Sejahtera</v>
          </cell>
          <cell r="B38" t="str">
            <v>1-2091</v>
          </cell>
          <cell r="C38" t="str">
            <v>Akumulasi Penyusutan Bangunan</v>
          </cell>
          <cell r="D38">
            <v>0</v>
          </cell>
          <cell r="E38">
            <v>208333</v>
          </cell>
        </row>
        <row r="39">
          <cell r="A39" t="str">
            <v>Peternakan Telur Sejahtera</v>
          </cell>
          <cell r="B39" t="str">
            <v>1-2093</v>
          </cell>
          <cell r="C39" t="str">
            <v>Akumulasi Penyusutan Peralatan dan Mesin</v>
          </cell>
          <cell r="D39">
            <v>0</v>
          </cell>
          <cell r="E39">
            <v>302083</v>
          </cell>
        </row>
        <row r="40">
          <cell r="A40" t="str">
            <v>Peternakan Telur Sejahtera</v>
          </cell>
          <cell r="B40" t="str">
            <v>5-1200</v>
          </cell>
          <cell r="C40" t="str">
            <v>HPP Barang Jadi / Hasil Produksi</v>
          </cell>
          <cell r="D40">
            <v>146279.71551071879</v>
          </cell>
          <cell r="E40">
            <v>0</v>
          </cell>
        </row>
        <row r="41">
          <cell r="A41" t="str">
            <v>Peternakan Telur Sejahtera</v>
          </cell>
          <cell r="B41" t="str">
            <v>5-2210</v>
          </cell>
          <cell r="C41" t="str">
            <v>Beban Operasional Peternakan Ayam Petelur</v>
          </cell>
          <cell r="D41">
            <v>0</v>
          </cell>
          <cell r="E41">
            <v>6500000</v>
          </cell>
        </row>
        <row r="42">
          <cell r="A42" t="str">
            <v>Peternakan Telur Sejahtera</v>
          </cell>
          <cell r="B42" t="str">
            <v>5-2700</v>
          </cell>
          <cell r="C42" t="str">
            <v>Beban Perlengkapan</v>
          </cell>
          <cell r="D42">
            <v>510416</v>
          </cell>
          <cell r="E42">
            <v>0</v>
          </cell>
        </row>
        <row r="43">
          <cell r="B43" t="str">
            <v>Akun D</v>
          </cell>
          <cell r="D43">
            <v>7156695.7155107185</v>
          </cell>
        </row>
        <row r="44">
          <cell r="B44" t="str">
            <v>Akun K</v>
          </cell>
          <cell r="E44">
            <v>7156695.7155107185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3C48-C9A6-1A4B-88EA-548C8AC87AD5}">
  <dimension ref="A1:Q99"/>
  <sheetViews>
    <sheetView tabSelected="1" workbookViewId="0">
      <selection sqref="A1:Q99"/>
    </sheetView>
  </sheetViews>
  <sheetFormatPr baseColWidth="10" defaultRowHeight="16" x14ac:dyDescent="0.2"/>
  <sheetData>
    <row r="1" spans="1:17" x14ac:dyDescent="0.2">
      <c r="A1" s="1"/>
      <c r="B1" s="1"/>
      <c r="C1" s="2"/>
      <c r="D1" s="2"/>
      <c r="E1" s="2"/>
      <c r="F1" s="2"/>
      <c r="G1" s="2"/>
      <c r="H1" s="2" t="s">
        <v>0</v>
      </c>
      <c r="I1" s="2"/>
      <c r="J1" s="2"/>
      <c r="K1" s="2"/>
      <c r="L1" s="2"/>
      <c r="M1" s="2"/>
    </row>
    <row r="2" spans="1:17" x14ac:dyDescent="0.2">
      <c r="A2" s="1"/>
      <c r="B2" s="1"/>
      <c r="C2" s="2"/>
      <c r="D2" s="2"/>
      <c r="E2" s="2"/>
      <c r="F2" s="2"/>
      <c r="G2" s="2"/>
      <c r="H2" s="2" t="s">
        <v>1</v>
      </c>
      <c r="I2" s="2"/>
      <c r="J2" s="2"/>
      <c r="K2" s="2"/>
      <c r="L2" s="2"/>
      <c r="M2" s="2"/>
    </row>
    <row r="3" spans="1:17" x14ac:dyDescent="0.2">
      <c r="A3" s="1"/>
      <c r="B3" s="1"/>
      <c r="C3" s="2"/>
      <c r="D3" s="2"/>
      <c r="E3" s="2"/>
      <c r="F3" s="2"/>
      <c r="G3" s="2"/>
      <c r="H3" s="2" t="s">
        <v>2</v>
      </c>
      <c r="I3" s="2"/>
      <c r="J3" s="2"/>
      <c r="K3" s="2"/>
      <c r="L3" s="2"/>
      <c r="M3" s="2"/>
    </row>
    <row r="4" spans="1:17" x14ac:dyDescent="0.2">
      <c r="A4" s="3" t="s">
        <v>3</v>
      </c>
      <c r="B4" s="3" t="s">
        <v>4</v>
      </c>
      <c r="C4" s="3" t="s">
        <v>5</v>
      </c>
      <c r="D4" s="4" t="s">
        <v>6</v>
      </c>
      <c r="E4" s="5"/>
      <c r="F4" s="6" t="s">
        <v>7</v>
      </c>
      <c r="G4" s="5"/>
      <c r="H4" s="4" t="s">
        <v>8</v>
      </c>
      <c r="I4" s="5"/>
      <c r="J4" s="6" t="s">
        <v>9</v>
      </c>
      <c r="K4" s="5"/>
      <c r="L4" s="4" t="s">
        <v>10</v>
      </c>
      <c r="M4" s="5"/>
      <c r="N4" s="6" t="s">
        <v>11</v>
      </c>
      <c r="O4" s="5"/>
      <c r="P4" s="6" t="s">
        <v>12</v>
      </c>
      <c r="Q4" s="5"/>
    </row>
    <row r="5" spans="1:17" x14ac:dyDescent="0.2">
      <c r="A5" s="7"/>
      <c r="B5" s="7"/>
      <c r="C5" s="7"/>
      <c r="D5" s="8" t="s">
        <v>13</v>
      </c>
      <c r="E5" s="8" t="s">
        <v>14</v>
      </c>
      <c r="F5" s="8" t="s">
        <v>13</v>
      </c>
      <c r="G5" s="8" t="s">
        <v>14</v>
      </c>
      <c r="H5" s="8" t="s">
        <v>13</v>
      </c>
      <c r="I5" s="8" t="s">
        <v>14</v>
      </c>
      <c r="J5" s="8" t="s">
        <v>13</v>
      </c>
      <c r="K5" s="8" t="s">
        <v>14</v>
      </c>
      <c r="L5" s="8" t="s">
        <v>13</v>
      </c>
      <c r="M5" s="8" t="s">
        <v>14</v>
      </c>
      <c r="N5" s="8" t="s">
        <v>13</v>
      </c>
      <c r="O5" s="8" t="s">
        <v>14</v>
      </c>
      <c r="P5" s="8" t="s">
        <v>13</v>
      </c>
      <c r="Q5" s="8" t="s">
        <v>14</v>
      </c>
    </row>
    <row r="6" spans="1:17" x14ac:dyDescent="0.2">
      <c r="A6" s="9"/>
      <c r="B6" s="9"/>
      <c r="C6" s="10"/>
      <c r="D6" s="11"/>
      <c r="E6" s="11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</row>
    <row r="7" spans="1:17" x14ac:dyDescent="0.2">
      <c r="A7" s="9" t="str">
        <f>'[1]Jurnal Penyesuaian'!B4</f>
        <v>Peternakan Telur Sejahtera</v>
      </c>
      <c r="B7" s="13">
        <f ca="1">IFERROR(__xludf.DUMMYFUNCTION("SORT(UNIQUE(FILTER(INDEX(RekapSaldoAwal,0,1),INDEX(RekapSaldoAwal,0,1)&lt;&gt;"""")))"),-657403)</f>
        <v>-657403</v>
      </c>
      <c r="C7" s="14" t="str">
        <f ca="1">IFERROR(__xludf.DUMMYFUNCTION("IF(B7="""","""",IFERROR(INDEX(FILTER(INDEX(SaldoAwal,0,6),(TRIM(TO_TEXT(INDEX(SaldoAwal,0,1)))=TRIM(TO_TEXT(B7)))+(TRIM(TO_TEXT(INDEX(SaldoAwal,0,2)))=TRIM(TO_TEXT(B7)))+(TRIM(TO_TEXT(INDEX(SaldoAwal,0,3)))=TRIM(TO_TEXT(B7)))+(TRIM(TO_TEXT(INDEX(SaldoAwal"&amp;",0,4)))=TRIM(TO_TEXT(B7)))+(TRIM(TO_TEXT(INDEX(SaldoAwal,0,5)))=TRIM(TO_TEXT(B7)))),1),""CEK NAMA AKUN""))"),"Utang Usaha")</f>
        <v>Utang Usaha</v>
      </c>
      <c r="D7" s="15">
        <f t="array" aca="1" ref="D7" ca="1">IF(B7="","",IFERROR(SUMIF(INDEX(RekapSaldoAwal,0,1),$B7,INDEX(RekapSaldoAwal,0,3)),0))</f>
        <v>0</v>
      </c>
      <c r="E7" s="15">
        <f t="array" aca="1" ref="E7" ca="1">IF(B7="","",IFERROR(SUMIF(INDEX(RekapSaldoAwal,0,1),$B7,INDEX(RekapSaldoAwal,0,4)),0))</f>
        <v>2100000</v>
      </c>
      <c r="F7" s="15">
        <f t="array" aca="1" ref="F7" ca="1">IFERROR(SUMIFS(INDEX(RekapJurnalUnit1,0,4),INDEX(RekapJurnalUnit1,0,1),$A7,INDEX(RekapJurnalUnit1,0,2),$B7),0)</f>
        <v>0</v>
      </c>
      <c r="G7" s="15">
        <f t="array" aca="1" ref="G7" ca="1">IFERROR(SUMIFS(INDEX(RekapJurnalUnit1,0,5),INDEX(RekapJurnalUnit1,0,1),$A7,INDEX(RekapJurnalUnit1,0,2),$B7),0)</f>
        <v>0</v>
      </c>
      <c r="H7" s="15">
        <f t="shared" ref="H7:H78" ca="1" si="0">MAX(0,(D7+F7)-(E7+G7))</f>
        <v>0</v>
      </c>
      <c r="I7" s="15">
        <f t="shared" ref="I7:I78" ca="1" si="1">MAX(0,(E7+G7)-(D7+F7))</f>
        <v>2100000</v>
      </c>
      <c r="J7" s="15">
        <f t="array" aca="1" ref="J7" ca="1">IFERROR(SUMIFS(INDEX(RekapPenyesuaianUnit1,0,4),INDEX(RekapPenyesuaianUnit1,0,1),$A7,INDEX(RekapPenyesuaianUnit1,0,2),$B7),0)</f>
        <v>0</v>
      </c>
      <c r="K7" s="15">
        <f t="array" aca="1" ref="K7" ca="1">IFERROR(SUMIFS(INDEX(RekapPenyesuaianUnit1,0,5),INDEX(RekapPenyesuaianUnit1,0,1),$A7,INDEX(RekapPenyesuaianUnit1,0,2),$B7),0)</f>
        <v>0</v>
      </c>
      <c r="L7" s="15">
        <f t="shared" ref="L7:L78" ca="1" si="2">MAX(0,(H7+J7)-(I7+K7))</f>
        <v>0</v>
      </c>
      <c r="M7" s="15">
        <f t="shared" ref="M7:M78" ca="1" si="3">MAX(0,(I7+K7)-(H7+J7))</f>
        <v>2100000</v>
      </c>
      <c r="N7" s="15">
        <f t="shared" ref="N7:O22" ca="1" si="4">IF(OR(LEFT($B7,1)="4",LEFT($B7,1)="5"),L7,0)</f>
        <v>0</v>
      </c>
      <c r="O7" s="15">
        <f t="shared" ca="1" si="4"/>
        <v>0</v>
      </c>
      <c r="P7" s="15">
        <f t="shared" ref="P7:Q22" ca="1" si="5">IF(OR(LEFT($B7,1)="1",LEFT($B7,1)="2",LEFT($B7,1)="3"),L7,0)</f>
        <v>0</v>
      </c>
      <c r="Q7" s="15">
        <f t="shared" ca="1" si="5"/>
        <v>0</v>
      </c>
    </row>
    <row r="8" spans="1:17" x14ac:dyDescent="0.2">
      <c r="A8" s="9" t="str">
        <f t="shared" ref="A8:A71" si="6">A7</f>
        <v>Peternakan Telur Sejahtera</v>
      </c>
      <c r="B8" s="13">
        <f ca="1">IFERROR(__xludf.DUMMYFUNCTION("""COMPUTED_VALUE"""),-620879)</f>
        <v>-620879</v>
      </c>
      <c r="C8" s="14" t="str">
        <f ca="1">IFERROR(__xludf.DUMMYFUNCTION("IF(B8="""","""",IFERROR(INDEX(FILTER(INDEX(SaldoAwal,0,6),(TRIM(TO_TEXT(INDEX(SaldoAwal,0,1)))=TRIM(TO_TEXT(B8)))+(TRIM(TO_TEXT(INDEX(SaldoAwal,0,2)))=TRIM(TO_TEXT(B8)))+(TRIM(TO_TEXT(INDEX(SaldoAwal,0,3)))=TRIM(TO_TEXT(B8)))+(TRIM(TO_TEXT(INDEX(SaldoAwal"&amp;",0,4)))=TRIM(TO_TEXT(B8)))+(TRIM(TO_TEXT(INDEX(SaldoAwal,0,5)))=TRIM(TO_TEXT(B8)))),1),""CEK NAMA AKUN""))"),"Utang Gaji/Upah")</f>
        <v>Utang Gaji/Upah</v>
      </c>
      <c r="D8" s="15">
        <f t="array" aca="1" ref="D8" ca="1">IF(B8="","",IFERROR(SUMIF(INDEX(RekapSaldoAwal,0,1),$B8,INDEX(RekapSaldoAwal,0,3)),0))</f>
        <v>0</v>
      </c>
      <c r="E8" s="15">
        <f t="array" aca="1" ref="E8" ca="1">IF(B8="","",IFERROR(SUMIF(INDEX(RekapSaldoAwal,0,1),$B8,INDEX(RekapSaldoAwal,0,4)),0))</f>
        <v>0</v>
      </c>
      <c r="F8" s="15">
        <f t="array" aca="1" ref="F8" ca="1">IFERROR(SUMIFS(INDEX(RekapJurnalUnit1,0,4),INDEX(RekapJurnalUnit1,0,1),$A8,INDEX(RekapJurnalUnit1,0,2),$B8),0)</f>
        <v>0</v>
      </c>
      <c r="G8" s="15">
        <f t="array" aca="1" ref="G8" ca="1">IFERROR(SUMIFS(INDEX(RekapJurnalUnit1,0,5),INDEX(RekapJurnalUnit1,0,1),$A8,INDEX(RekapJurnalUnit1,0,2),$B8),0)</f>
        <v>0</v>
      </c>
      <c r="H8" s="15">
        <f t="shared" ca="1" si="0"/>
        <v>0</v>
      </c>
      <c r="I8" s="15">
        <f t="shared" ca="1" si="1"/>
        <v>0</v>
      </c>
      <c r="J8" s="15">
        <f t="array" aca="1" ref="J8" ca="1">IFERROR(SUMIFS(INDEX(RekapPenyesuaianUnit1,0,4),INDEX(RekapPenyesuaianUnit1,0,1),$A8,INDEX(RekapPenyesuaianUnit1,0,2),$B8),0)</f>
        <v>0</v>
      </c>
      <c r="K8" s="15">
        <f t="array" aca="1" ref="K8" ca="1">IFERROR(SUMIFS(INDEX(RekapPenyesuaianUnit1,0,5),INDEX(RekapPenyesuaianUnit1,0,1),$A8,INDEX(RekapPenyesuaianUnit1,0,2),$B8),0)</f>
        <v>0</v>
      </c>
      <c r="L8" s="15">
        <f t="shared" ca="1" si="2"/>
        <v>0</v>
      </c>
      <c r="M8" s="15">
        <f t="shared" ca="1" si="3"/>
        <v>0</v>
      </c>
      <c r="N8" s="15">
        <f t="shared" ca="1" si="4"/>
        <v>0</v>
      </c>
      <c r="O8" s="15">
        <f t="shared" ca="1" si="4"/>
        <v>0</v>
      </c>
      <c r="P8" s="15">
        <f t="shared" ca="1" si="5"/>
        <v>0</v>
      </c>
      <c r="Q8" s="15">
        <f t="shared" ca="1" si="5"/>
        <v>0</v>
      </c>
    </row>
    <row r="9" spans="1:17" x14ac:dyDescent="0.2">
      <c r="A9" s="9" t="str">
        <f t="shared" si="6"/>
        <v>Peternakan Telur Sejahtera</v>
      </c>
      <c r="B9" s="13">
        <f ca="1">IFERROR(__xludf.DUMMYFUNCTION("""COMPUTED_VALUE"""),-584355)</f>
        <v>-584355</v>
      </c>
      <c r="C9" s="14" t="str">
        <f ca="1">IFERROR(__xludf.DUMMYFUNCTION("IF(B9="""","""",IFERROR(INDEX(FILTER(INDEX(SaldoAwal,0,6),(TRIM(TO_TEXT(INDEX(SaldoAwal,0,1)))=TRIM(TO_TEXT(B9)))+(TRIM(TO_TEXT(INDEX(SaldoAwal,0,2)))=TRIM(TO_TEXT(B9)))+(TRIM(TO_TEXT(INDEX(SaldoAwal,0,3)))=TRIM(TO_TEXT(B9)))+(TRIM(TO_TEXT(INDEX(SaldoAwal"&amp;",0,4)))=TRIM(TO_TEXT(B9)))+(TRIM(TO_TEXT(INDEX(SaldoAwal,0,5)))=TRIM(TO_TEXT(B9)))),1),""CEK NAMA AKUN""))"),"Utang Pajak")</f>
        <v>Utang Pajak</v>
      </c>
      <c r="D9" s="15">
        <f t="array" aca="1" ref="D9" ca="1">IF(B9="","",IFERROR(SUMIF(INDEX(RekapSaldoAwal,0,1),$B9,INDEX(RekapSaldoAwal,0,3)),0))</f>
        <v>0</v>
      </c>
      <c r="E9" s="15">
        <f t="array" aca="1" ref="E9" ca="1">IF(B9="","",IFERROR(SUMIF(INDEX(RekapSaldoAwal,0,1),$B9,INDEX(RekapSaldoAwal,0,4)),0))</f>
        <v>0</v>
      </c>
      <c r="F9" s="15">
        <f t="array" aca="1" ref="F9" ca="1">IFERROR(SUMIFS(INDEX(RekapJurnalUnit1,0,4),INDEX(RekapJurnalUnit1,0,1),$A9,INDEX(RekapJurnalUnit1,0,2),$B9),0)</f>
        <v>0</v>
      </c>
      <c r="G9" s="15">
        <f t="array" aca="1" ref="G9" ca="1">IFERROR(SUMIFS(INDEX(RekapJurnalUnit1,0,5),INDEX(RekapJurnalUnit1,0,1),$A9,INDEX(RekapJurnalUnit1,0,2),$B9),0)</f>
        <v>0</v>
      </c>
      <c r="H9" s="15">
        <f t="shared" ca="1" si="0"/>
        <v>0</v>
      </c>
      <c r="I9" s="15">
        <f t="shared" ca="1" si="1"/>
        <v>0</v>
      </c>
      <c r="J9" s="15">
        <f t="array" aca="1" ref="J9" ca="1">IFERROR(SUMIFS(INDEX(RekapPenyesuaianUnit1,0,4),INDEX(RekapPenyesuaianUnit1,0,1),$A9,INDEX(RekapPenyesuaianUnit1,0,2),$B9),0)</f>
        <v>0</v>
      </c>
      <c r="K9" s="15">
        <f t="array" aca="1" ref="K9" ca="1">IFERROR(SUMIFS(INDEX(RekapPenyesuaianUnit1,0,5),INDEX(RekapPenyesuaianUnit1,0,1),$A9,INDEX(RekapPenyesuaianUnit1,0,2),$B9),0)</f>
        <v>0</v>
      </c>
      <c r="L9" s="15">
        <f t="shared" ca="1" si="2"/>
        <v>0</v>
      </c>
      <c r="M9" s="15">
        <f t="shared" ca="1" si="3"/>
        <v>0</v>
      </c>
      <c r="N9" s="15">
        <f t="shared" ca="1" si="4"/>
        <v>0</v>
      </c>
      <c r="O9" s="15">
        <f t="shared" ca="1" si="4"/>
        <v>0</v>
      </c>
      <c r="P9" s="15">
        <f t="shared" ca="1" si="5"/>
        <v>0</v>
      </c>
      <c r="Q9" s="15">
        <f t="shared" ca="1" si="5"/>
        <v>0</v>
      </c>
    </row>
    <row r="10" spans="1:17" x14ac:dyDescent="0.2">
      <c r="A10" s="9" t="str">
        <f t="shared" si="6"/>
        <v>Peternakan Telur Sejahtera</v>
      </c>
      <c r="B10" s="13">
        <f ca="1">IFERROR(__xludf.DUMMYFUNCTION("""COMPUTED_VALUE"""),-547831)</f>
        <v>-547831</v>
      </c>
      <c r="C10" s="14" t="str">
        <f ca="1">IFERROR(__xludf.DUMMYFUNCTION("IF(B10="""","""",IFERROR(INDEX(FILTER(INDEX(SaldoAwal,0,6),(TRIM(TO_TEXT(INDEX(SaldoAwal,0,1)))=TRIM(TO_TEXT(B10)))+(TRIM(TO_TEXT(INDEX(SaldoAwal,0,2)))=TRIM(TO_TEXT(B10)))+(TRIM(TO_TEXT(INDEX(SaldoAwal,0,3)))=TRIM(TO_TEXT(B10)))+(TRIM(TO_TEXT(INDEX(Saldo"&amp;"Awal,0,4)))=TRIM(TO_TEXT(B10)))+(TRIM(TO_TEXT(INDEX(SaldoAwal,0,5)))=TRIM(TO_TEXT(B10)))),1),""CEK NAMA AKUN""))"),"Utang Utilitas")</f>
        <v>Utang Utilitas</v>
      </c>
      <c r="D10" s="15">
        <f t="array" aca="1" ref="D10" ca="1">IF(B10="","",IFERROR(SUMIF(INDEX(RekapSaldoAwal,0,1),$B10,INDEX(RekapSaldoAwal,0,3)),0))</f>
        <v>0</v>
      </c>
      <c r="E10" s="15">
        <f t="array" aca="1" ref="E10" ca="1">IF(B10="","",IFERROR(SUMIF(INDEX(RekapSaldoAwal,0,1),$B10,INDEX(RekapSaldoAwal,0,4)),0))</f>
        <v>0</v>
      </c>
      <c r="F10" s="15">
        <f t="array" aca="1" ref="F10" ca="1">IFERROR(SUMIFS(INDEX(RekapJurnalUnit1,0,4),INDEX(RekapJurnalUnit1,0,1),$A10,INDEX(RekapJurnalUnit1,0,2),$B10),0)</f>
        <v>0</v>
      </c>
      <c r="G10" s="15">
        <f t="array" aca="1" ref="G10" ca="1">IFERROR(SUMIFS(INDEX(RekapJurnalUnit1,0,5),INDEX(RekapJurnalUnit1,0,1),$A10,INDEX(RekapJurnalUnit1,0,2),$B10),0)</f>
        <v>0</v>
      </c>
      <c r="H10" s="15">
        <f t="shared" ca="1" si="0"/>
        <v>0</v>
      </c>
      <c r="I10" s="15">
        <f t="shared" ca="1" si="1"/>
        <v>0</v>
      </c>
      <c r="J10" s="15">
        <f t="array" aca="1" ref="J10" ca="1">IFERROR(SUMIFS(INDEX(RekapPenyesuaianUnit1,0,4),INDEX(RekapPenyesuaianUnit1,0,1),$A10,INDEX(RekapPenyesuaianUnit1,0,2),$B10),0)</f>
        <v>0</v>
      </c>
      <c r="K10" s="15">
        <f t="array" aca="1" ref="K10" ca="1">IFERROR(SUMIFS(INDEX(RekapPenyesuaianUnit1,0,5),INDEX(RekapPenyesuaianUnit1,0,1),$A10,INDEX(RekapPenyesuaianUnit1,0,2),$B10),0)</f>
        <v>0</v>
      </c>
      <c r="L10" s="15">
        <f t="shared" ca="1" si="2"/>
        <v>0</v>
      </c>
      <c r="M10" s="15">
        <f t="shared" ca="1" si="3"/>
        <v>0</v>
      </c>
      <c r="N10" s="15">
        <f t="shared" ca="1" si="4"/>
        <v>0</v>
      </c>
      <c r="O10" s="15">
        <f t="shared" ca="1" si="4"/>
        <v>0</v>
      </c>
      <c r="P10" s="15">
        <f t="shared" ca="1" si="5"/>
        <v>0</v>
      </c>
      <c r="Q10" s="15">
        <f t="shared" ca="1" si="5"/>
        <v>0</v>
      </c>
    </row>
    <row r="11" spans="1:17" x14ac:dyDescent="0.2">
      <c r="A11" s="9" t="str">
        <f t="shared" si="6"/>
        <v>Peternakan Telur Sejahtera</v>
      </c>
      <c r="B11" s="13">
        <f ca="1">IFERROR(__xludf.DUMMYFUNCTION("""COMPUTED_VALUE"""),-511306)</f>
        <v>-511306</v>
      </c>
      <c r="C11" s="14" t="str">
        <f ca="1">IFERROR(__xludf.DUMMYFUNCTION("IF(B11="""","""",IFERROR(INDEX(FILTER(INDEX(SaldoAwal,0,6),(TRIM(TO_TEXT(INDEX(SaldoAwal,0,1)))=TRIM(TO_TEXT(B11)))+(TRIM(TO_TEXT(INDEX(SaldoAwal,0,2)))=TRIM(TO_TEXT(B11)))+(TRIM(TO_TEXT(INDEX(SaldoAwal,0,3)))=TRIM(TO_TEXT(B11)))+(TRIM(TO_TEXT(INDEX(Saldo"&amp;"Awal,0,4)))=TRIM(TO_TEXT(B11)))+(TRIM(TO_TEXT(INDEX(SaldoAwal,0,5)))=TRIM(TO_TEXT(B11)))),1),""CEK NAMA AKUN""))"),"Utang Jangka Pendek Lainnya")</f>
        <v>Utang Jangka Pendek Lainnya</v>
      </c>
      <c r="D11" s="15">
        <f t="array" aca="1" ref="D11" ca="1">IF(B11="","",IFERROR(SUMIF(INDEX(RekapSaldoAwal,0,1),$B11,INDEX(RekapSaldoAwal,0,3)),0))</f>
        <v>0</v>
      </c>
      <c r="E11" s="15">
        <f t="array" aca="1" ref="E11" ca="1">IF(B11="","",IFERROR(SUMIF(INDEX(RekapSaldoAwal,0,1),$B11,INDEX(RekapSaldoAwal,0,4)),0))</f>
        <v>0</v>
      </c>
      <c r="F11" s="15">
        <f t="array" aca="1" ref="F11" ca="1">IFERROR(SUMIFS(INDEX(RekapJurnalUnit1,0,4),INDEX(RekapJurnalUnit1,0,1),$A11,INDEX(RekapJurnalUnit1,0,2),$B11),0)</f>
        <v>0</v>
      </c>
      <c r="G11" s="15">
        <f t="array" aca="1" ref="G11" ca="1">IFERROR(SUMIFS(INDEX(RekapJurnalUnit1,0,5),INDEX(RekapJurnalUnit1,0,1),$A11,INDEX(RekapJurnalUnit1,0,2),$B11),0)</f>
        <v>0</v>
      </c>
      <c r="H11" s="15">
        <f t="shared" ca="1" si="0"/>
        <v>0</v>
      </c>
      <c r="I11" s="15">
        <f t="shared" ca="1" si="1"/>
        <v>0</v>
      </c>
      <c r="J11" s="15">
        <f t="array" aca="1" ref="J11" ca="1">IFERROR(SUMIFS(INDEX(RekapPenyesuaianUnit1,0,4),INDEX(RekapPenyesuaianUnit1,0,1),$A11,INDEX(RekapPenyesuaianUnit1,0,2),$B11),0)</f>
        <v>0</v>
      </c>
      <c r="K11" s="15">
        <f t="array" aca="1" ref="K11" ca="1">IFERROR(SUMIFS(INDEX(RekapPenyesuaianUnit1,0,5),INDEX(RekapPenyesuaianUnit1,0,1),$A11,INDEX(RekapPenyesuaianUnit1,0,2),$B11),0)</f>
        <v>0</v>
      </c>
      <c r="L11" s="15">
        <f t="shared" ca="1" si="2"/>
        <v>0</v>
      </c>
      <c r="M11" s="15">
        <f t="shared" ca="1" si="3"/>
        <v>0</v>
      </c>
      <c r="N11" s="15">
        <f t="shared" ca="1" si="4"/>
        <v>0</v>
      </c>
      <c r="O11" s="15">
        <f t="shared" ca="1" si="4"/>
        <v>0</v>
      </c>
      <c r="P11" s="15">
        <f t="shared" ca="1" si="5"/>
        <v>0</v>
      </c>
      <c r="Q11" s="15">
        <f t="shared" ca="1" si="5"/>
        <v>0</v>
      </c>
    </row>
    <row r="12" spans="1:17" x14ac:dyDescent="0.2">
      <c r="A12" s="9" t="str">
        <f t="shared" si="6"/>
        <v>Peternakan Telur Sejahtera</v>
      </c>
      <c r="B12" s="13">
        <f ca="1">IFERROR(__xludf.DUMMYFUNCTION("""COMPUTED_VALUE"""),-292161)</f>
        <v>-292161</v>
      </c>
      <c r="C12" s="14" t="str">
        <f ca="1">IFERROR(__xludf.DUMMYFUNCTION("IF(B12="""","""",IFERROR(INDEX(FILTER(INDEX(SaldoAwal,0,6),(TRIM(TO_TEXT(INDEX(SaldoAwal,0,1)))=TRIM(TO_TEXT(B12)))+(TRIM(TO_TEXT(INDEX(SaldoAwal,0,2)))=TRIM(TO_TEXT(B12)))+(TRIM(TO_TEXT(INDEX(SaldoAwal,0,3)))=TRIM(TO_TEXT(B12)))+(TRIM(TO_TEXT(INDEX(Saldo"&amp;"Awal,0,4)))=TRIM(TO_TEXT(B12)))+(TRIM(TO_TEXT(INDEX(SaldoAwal,0,5)))=TRIM(TO_TEXT(B12)))),1),""CEK NAMA AKUN""))"),"Utang Bank Jangka Panjang")</f>
        <v>Utang Bank Jangka Panjang</v>
      </c>
      <c r="D12" s="15">
        <f t="array" aca="1" ref="D12" ca="1">IF(B12="","",IFERROR(SUMIF(INDEX(RekapSaldoAwal,0,1),$B12,INDEX(RekapSaldoAwal,0,3)),0))</f>
        <v>0</v>
      </c>
      <c r="E12" s="15">
        <f t="array" aca="1" ref="E12" ca="1">IF(B12="","",IFERROR(SUMIF(INDEX(RekapSaldoAwal,0,1),$B12,INDEX(RekapSaldoAwal,0,4)),0))</f>
        <v>0</v>
      </c>
      <c r="F12" s="15">
        <f t="array" aca="1" ref="F12" ca="1">IFERROR(SUMIFS(INDEX(RekapJurnalUnit1,0,4),INDEX(RekapJurnalUnit1,0,1),$A12,INDEX(RekapJurnalUnit1,0,2),$B12),0)</f>
        <v>0</v>
      </c>
      <c r="G12" s="15">
        <f t="array" aca="1" ref="G12" ca="1">IFERROR(SUMIFS(INDEX(RekapJurnalUnit1,0,5),INDEX(RekapJurnalUnit1,0,1),$A12,INDEX(RekapJurnalUnit1,0,2),$B12),0)</f>
        <v>0</v>
      </c>
      <c r="H12" s="15">
        <f t="shared" ca="1" si="0"/>
        <v>0</v>
      </c>
      <c r="I12" s="15">
        <f t="shared" ca="1" si="1"/>
        <v>0</v>
      </c>
      <c r="J12" s="15">
        <f t="array" aca="1" ref="J12" ca="1">IFERROR(SUMIFS(INDEX(RekapPenyesuaianUnit1,0,4),INDEX(RekapPenyesuaianUnit1,0,1),$A12,INDEX(RekapPenyesuaianUnit1,0,2),$B12),0)</f>
        <v>0</v>
      </c>
      <c r="K12" s="15">
        <f t="array" aca="1" ref="K12" ca="1">IFERROR(SUMIFS(INDEX(RekapPenyesuaianUnit1,0,5),INDEX(RekapPenyesuaianUnit1,0,1),$A12,INDEX(RekapPenyesuaianUnit1,0,2),$B12),0)</f>
        <v>0</v>
      </c>
      <c r="L12" s="15">
        <f t="shared" ca="1" si="2"/>
        <v>0</v>
      </c>
      <c r="M12" s="15">
        <f t="shared" ca="1" si="3"/>
        <v>0</v>
      </c>
      <c r="N12" s="15">
        <f t="shared" ca="1" si="4"/>
        <v>0</v>
      </c>
      <c r="O12" s="15">
        <f t="shared" ca="1" si="4"/>
        <v>0</v>
      </c>
      <c r="P12" s="15">
        <f t="shared" ca="1" si="5"/>
        <v>0</v>
      </c>
      <c r="Q12" s="15">
        <f t="shared" ca="1" si="5"/>
        <v>0</v>
      </c>
    </row>
    <row r="13" spans="1:17" x14ac:dyDescent="0.2">
      <c r="A13" s="9" t="str">
        <f t="shared" si="6"/>
        <v>Peternakan Telur Sejahtera</v>
      </c>
      <c r="B13" s="13">
        <f ca="1">IFERROR(__xludf.DUMMYFUNCTION("""COMPUTED_VALUE"""),-292133)</f>
        <v>-292133</v>
      </c>
      <c r="C13" s="14" t="str">
        <f ca="1">IFERROR(__xludf.DUMMYFUNCTION("IF(B13="""","""",IFERROR(INDEX(FILTER(INDEX(SaldoAwal,0,6),(TRIM(TO_TEXT(INDEX(SaldoAwal,0,1)))=TRIM(TO_TEXT(B13)))+(TRIM(TO_TEXT(INDEX(SaldoAwal,0,2)))=TRIM(TO_TEXT(B13)))+(TRIM(TO_TEXT(INDEX(SaldoAwal,0,3)))=TRIM(TO_TEXT(B13)))+(TRIM(TO_TEXT(INDEX(Saldo"&amp;"Awal,0,4)))=TRIM(TO_TEXT(B13)))+(TRIM(TO_TEXT(INDEX(SaldoAwal,0,5)))=TRIM(TO_TEXT(B13)))),1),""CEK NAMA AKUN""))"),"Penyertaan Modal Desa")</f>
        <v>Penyertaan Modal Desa</v>
      </c>
      <c r="D13" s="15">
        <f t="array" aca="1" ref="D13" ca="1">IF(B13="","",IFERROR(SUMIF(INDEX(RekapSaldoAwal,0,1),$B13,INDEX(RekapSaldoAwal,0,3)),0))</f>
        <v>0</v>
      </c>
      <c r="E13" s="15">
        <f t="array" aca="1" ref="E13" ca="1">IF(B13="","",IFERROR(SUMIF(INDEX(RekapSaldoAwal,0,1),$B13,INDEX(RekapSaldoAwal,0,4)),0))</f>
        <v>300000000</v>
      </c>
      <c r="F13" s="15">
        <f t="array" aca="1" ref="F13" ca="1">IFERROR(SUMIFS(INDEX(RekapJurnalUnit1,0,4),INDEX(RekapJurnalUnit1,0,1),$A13,INDEX(RekapJurnalUnit1,0,2),$B13),0)</f>
        <v>0</v>
      </c>
      <c r="G13" s="15">
        <f t="array" aca="1" ref="G13" ca="1">IFERROR(SUMIFS(INDEX(RekapJurnalUnit1,0,5),INDEX(RekapJurnalUnit1,0,1),$A13,INDEX(RekapJurnalUnit1,0,2),$B13),0)</f>
        <v>0</v>
      </c>
      <c r="H13" s="15">
        <f t="shared" ca="1" si="0"/>
        <v>0</v>
      </c>
      <c r="I13" s="15">
        <f t="shared" ca="1" si="1"/>
        <v>300000000</v>
      </c>
      <c r="J13" s="15">
        <f t="array" aca="1" ref="J13" ca="1">IFERROR(SUMIFS(INDEX(RekapPenyesuaianUnit1,0,4),INDEX(RekapPenyesuaianUnit1,0,1),$A13,INDEX(RekapPenyesuaianUnit1,0,2),$B13),0)</f>
        <v>0</v>
      </c>
      <c r="K13" s="15">
        <f t="array" aca="1" ref="K13" ca="1">IFERROR(SUMIFS(INDEX(RekapPenyesuaianUnit1,0,5),INDEX(RekapPenyesuaianUnit1,0,1),$A13,INDEX(RekapPenyesuaianUnit1,0,2),$B13),0)</f>
        <v>0</v>
      </c>
      <c r="L13" s="15">
        <f t="shared" ca="1" si="2"/>
        <v>0</v>
      </c>
      <c r="M13" s="15">
        <f t="shared" ca="1" si="3"/>
        <v>300000000</v>
      </c>
      <c r="N13" s="15">
        <f t="shared" ca="1" si="4"/>
        <v>0</v>
      </c>
      <c r="O13" s="15">
        <f t="shared" ca="1" si="4"/>
        <v>0</v>
      </c>
      <c r="P13" s="15">
        <f t="shared" ca="1" si="5"/>
        <v>0</v>
      </c>
      <c r="Q13" s="15">
        <f t="shared" ca="1" si="5"/>
        <v>0</v>
      </c>
    </row>
    <row r="14" spans="1:17" x14ac:dyDescent="0.2">
      <c r="A14" s="9" t="str">
        <f t="shared" si="6"/>
        <v>Peternakan Telur Sejahtera</v>
      </c>
      <c r="B14" s="13">
        <f ca="1">IFERROR(__xludf.DUMMYFUNCTION("""COMPUTED_VALUE"""),-292102)</f>
        <v>-292102</v>
      </c>
      <c r="C14" s="14" t="str">
        <f ca="1">IFERROR(__xludf.DUMMYFUNCTION("IF(B14="""","""",IFERROR(INDEX(FILTER(INDEX(SaldoAwal,0,6),(TRIM(TO_TEXT(INDEX(SaldoAwal,0,1)))=TRIM(TO_TEXT(B14)))+(TRIM(TO_TEXT(INDEX(SaldoAwal,0,2)))=TRIM(TO_TEXT(B14)))+(TRIM(TO_TEXT(INDEX(SaldoAwal,0,3)))=TRIM(TO_TEXT(B14)))+(TRIM(TO_TEXT(INDEX(Saldo"&amp;"Awal,0,4)))=TRIM(TO_TEXT(B14)))+(TRIM(TO_TEXT(INDEX(SaldoAwal,0,5)))=TRIM(TO_TEXT(B14)))),1),""CEK NAMA AKUN""))"),"Pendapatan Penjualan Barang Dagangan")</f>
        <v>Pendapatan Penjualan Barang Dagangan</v>
      </c>
      <c r="D14" s="15">
        <f t="array" aca="1" ref="D14" ca="1">IF(B14="","",IFERROR(SUMIF(INDEX(RekapSaldoAwal,0,1),$B14,INDEX(RekapSaldoAwal,0,3)),0))</f>
        <v>0</v>
      </c>
      <c r="E14" s="15">
        <f t="array" aca="1" ref="E14" ca="1">IF(B14="","",IFERROR(SUMIF(INDEX(RekapSaldoAwal,0,1),$B14,INDEX(RekapSaldoAwal,0,4)),0))</f>
        <v>0</v>
      </c>
      <c r="F14" s="15">
        <f t="array" aca="1" ref="F14" ca="1">IFERROR(SUMIFS(INDEX(RekapJurnalUnit1,0,4),INDEX(RekapJurnalUnit1,0,1),$A14,INDEX(RekapJurnalUnit1,0,2),$B14),0)</f>
        <v>0</v>
      </c>
      <c r="G14" s="15">
        <f t="array" aca="1" ref="G14" ca="1">IFERROR(SUMIFS(INDEX(RekapJurnalUnit1,0,5),INDEX(RekapJurnalUnit1,0,1),$A14,INDEX(RekapJurnalUnit1,0,2),$B14),0)</f>
        <v>0</v>
      </c>
      <c r="H14" s="15">
        <f t="shared" ca="1" si="0"/>
        <v>0</v>
      </c>
      <c r="I14" s="15">
        <f t="shared" ca="1" si="1"/>
        <v>0</v>
      </c>
      <c r="J14" s="15">
        <f t="array" aca="1" ref="J14" ca="1">IFERROR(SUMIFS(INDEX(RekapPenyesuaianUnit1,0,4),INDEX(RekapPenyesuaianUnit1,0,1),$A14,INDEX(RekapPenyesuaianUnit1,0,2),$B14),0)</f>
        <v>0</v>
      </c>
      <c r="K14" s="15">
        <f t="array" aca="1" ref="K14" ca="1">IFERROR(SUMIFS(INDEX(RekapPenyesuaianUnit1,0,5),INDEX(RekapPenyesuaianUnit1,0,1),$A14,INDEX(RekapPenyesuaianUnit1,0,2),$B14),0)</f>
        <v>0</v>
      </c>
      <c r="L14" s="15">
        <f t="shared" ca="1" si="2"/>
        <v>0</v>
      </c>
      <c r="M14" s="15">
        <f t="shared" ca="1" si="3"/>
        <v>0</v>
      </c>
      <c r="N14" s="15">
        <f t="shared" ca="1" si="4"/>
        <v>0</v>
      </c>
      <c r="O14" s="15">
        <f t="shared" ca="1" si="4"/>
        <v>0</v>
      </c>
      <c r="P14" s="15">
        <f t="shared" ca="1" si="5"/>
        <v>0</v>
      </c>
      <c r="Q14" s="15">
        <f t="shared" ca="1" si="5"/>
        <v>0</v>
      </c>
    </row>
    <row r="15" spans="1:17" x14ac:dyDescent="0.2">
      <c r="A15" s="9" t="str">
        <f t="shared" si="6"/>
        <v>Peternakan Telur Sejahtera</v>
      </c>
      <c r="B15" s="13">
        <f ca="1">IFERROR(__xludf.DUMMYFUNCTION("""COMPUTED_VALUE"""),-292072)</f>
        <v>-292072</v>
      </c>
      <c r="C15" s="14" t="str">
        <f ca="1">IFERROR(__xludf.DUMMYFUNCTION("IF(B15="""","""",IFERROR(INDEX(FILTER(INDEX(SaldoAwal,0,6),(TRIM(TO_TEXT(INDEX(SaldoAwal,0,1)))=TRIM(TO_TEXT(B15)))+(TRIM(TO_TEXT(INDEX(SaldoAwal,0,2)))=TRIM(TO_TEXT(B15)))+(TRIM(TO_TEXT(INDEX(SaldoAwal,0,3)))=TRIM(TO_TEXT(B15)))+(TRIM(TO_TEXT(INDEX(Saldo"&amp;"Awal,0,4)))=TRIM(TO_TEXT(B15)))+(TRIM(TO_TEXT(INDEX(SaldoAwal,0,5)))=TRIM(TO_TEXT(B15)))),1),""CEK NAMA AKUN""))"),"HPP Barang Dagangan")</f>
        <v>HPP Barang Dagangan</v>
      </c>
      <c r="D15" s="15">
        <f t="array" aca="1" ref="D15" ca="1">IF(B15="","",IFERROR(SUMIF(INDEX(RekapSaldoAwal,0,1),$B15,INDEX(RekapSaldoAwal,0,3)),0))</f>
        <v>0</v>
      </c>
      <c r="E15" s="15">
        <f t="array" aca="1" ref="E15" ca="1">IF(B15="","",IFERROR(SUMIF(INDEX(RekapSaldoAwal,0,1),$B15,INDEX(RekapSaldoAwal,0,4)),0))</f>
        <v>0</v>
      </c>
      <c r="F15" s="15">
        <f t="array" aca="1" ref="F15" ca="1">IFERROR(SUMIFS(INDEX(RekapJurnalUnit1,0,4),INDEX(RekapJurnalUnit1,0,1),$A15,INDEX(RekapJurnalUnit1,0,2),$B15),0)</f>
        <v>0</v>
      </c>
      <c r="G15" s="15">
        <f t="array" aca="1" ref="G15" ca="1">IFERROR(SUMIFS(INDEX(RekapJurnalUnit1,0,5),INDEX(RekapJurnalUnit1,0,1),$A15,INDEX(RekapJurnalUnit1,0,2),$B15),0)</f>
        <v>0</v>
      </c>
      <c r="H15" s="15">
        <f t="shared" ca="1" si="0"/>
        <v>0</v>
      </c>
      <c r="I15" s="15">
        <f t="shared" ca="1" si="1"/>
        <v>0</v>
      </c>
      <c r="J15" s="15">
        <f t="array" aca="1" ref="J15" ca="1">IFERROR(SUMIFS(INDEX(RekapPenyesuaianUnit1,0,4),INDEX(RekapPenyesuaianUnit1,0,1),$A15,INDEX(RekapPenyesuaianUnit1,0,2),$B15),0)</f>
        <v>0</v>
      </c>
      <c r="K15" s="15">
        <f t="array" aca="1" ref="K15" ca="1">IFERROR(SUMIFS(INDEX(RekapPenyesuaianUnit1,0,5),INDEX(RekapPenyesuaianUnit1,0,1),$A15,INDEX(RekapPenyesuaianUnit1,0,2),$B15),0)</f>
        <v>0</v>
      </c>
      <c r="L15" s="15">
        <f t="shared" ca="1" si="2"/>
        <v>0</v>
      </c>
      <c r="M15" s="15">
        <f t="shared" ca="1" si="3"/>
        <v>0</v>
      </c>
      <c r="N15" s="15">
        <f t="shared" ca="1" si="4"/>
        <v>0</v>
      </c>
      <c r="O15" s="15">
        <f t="shared" ca="1" si="4"/>
        <v>0</v>
      </c>
      <c r="P15" s="15">
        <f t="shared" ca="1" si="5"/>
        <v>0</v>
      </c>
      <c r="Q15" s="15">
        <f t="shared" ca="1" si="5"/>
        <v>0</v>
      </c>
    </row>
    <row r="16" spans="1:17" x14ac:dyDescent="0.2">
      <c r="A16" s="9" t="str">
        <f t="shared" si="6"/>
        <v>Peternakan Telur Sejahtera</v>
      </c>
      <c r="B16" s="13">
        <f ca="1">IFERROR(__xludf.DUMMYFUNCTION("""COMPUTED_VALUE"""),-288540)</f>
        <v>-288540</v>
      </c>
      <c r="C16" s="14" t="str">
        <f ca="1">IFERROR(__xludf.DUMMYFUNCTION("IF(B16="""","""",IFERROR(INDEX(FILTER(INDEX(SaldoAwal,0,6),(TRIM(TO_TEXT(INDEX(SaldoAwal,0,1)))=TRIM(TO_TEXT(B16)))+(TRIM(TO_TEXT(INDEX(SaldoAwal,0,2)))=TRIM(TO_TEXT(B16)))+(TRIM(TO_TEXT(INDEX(SaldoAwal,0,3)))=TRIM(TO_TEXT(B16)))+(TRIM(TO_TEXT(INDEX(Saldo"&amp;"Awal,0,4)))=TRIM(TO_TEXT(B16)))+(TRIM(TO_TEXT(INDEX(SaldoAwal,0,5)))=TRIM(TO_TEXT(B16)))),1),""CEK NAMA AKUN""))"),"Kas")</f>
        <v>Kas</v>
      </c>
      <c r="D16" s="15">
        <f t="array" aca="1" ref="D16" ca="1">IF(B16="","",IFERROR(SUMIF(INDEX(RekapSaldoAwal,0,1),$B16,INDEX(RekapSaldoAwal,0,3)),0))</f>
        <v>0</v>
      </c>
      <c r="E16" s="15">
        <f t="array" aca="1" ref="E16" ca="1">IF(B16="","",IFERROR(SUMIF(INDEX(RekapSaldoAwal,0,1),$B16,INDEX(RekapSaldoAwal,0,4)),0))</f>
        <v>0</v>
      </c>
      <c r="F16" s="15">
        <f t="array" aca="1" ref="F16" ca="1">IFERROR(SUMIFS(INDEX(RekapJurnalUnit1,0,4),INDEX(RekapJurnalUnit1,0,1),$A16,INDEX(RekapJurnalUnit1,0,2),$B16),0)</f>
        <v>0</v>
      </c>
      <c r="G16" s="15">
        <f t="array" aca="1" ref="G16" ca="1">IFERROR(SUMIFS(INDEX(RekapJurnalUnit1,0,5),INDEX(RekapJurnalUnit1,0,1),$A16,INDEX(RekapJurnalUnit1,0,2),$B16),0)</f>
        <v>0</v>
      </c>
      <c r="H16" s="15">
        <f t="shared" ca="1" si="0"/>
        <v>0</v>
      </c>
      <c r="I16" s="15">
        <f t="shared" ca="1" si="1"/>
        <v>0</v>
      </c>
      <c r="J16" s="15">
        <f t="array" aca="1" ref="J16" ca="1">IFERROR(SUMIFS(INDEX(RekapPenyesuaianUnit1,0,4),INDEX(RekapPenyesuaianUnit1,0,1),$A16,INDEX(RekapPenyesuaianUnit1,0,2),$B16),0)</f>
        <v>0</v>
      </c>
      <c r="K16" s="15">
        <f t="array" aca="1" ref="K16" ca="1">IFERROR(SUMIFS(INDEX(RekapPenyesuaianUnit1,0,5),INDEX(RekapPenyesuaianUnit1,0,1),$A16,INDEX(RekapPenyesuaianUnit1,0,2),$B16),0)</f>
        <v>0</v>
      </c>
      <c r="L16" s="15">
        <f t="shared" ca="1" si="2"/>
        <v>0</v>
      </c>
      <c r="M16" s="15">
        <f t="shared" ca="1" si="3"/>
        <v>0</v>
      </c>
      <c r="N16" s="15">
        <f t="shared" ca="1" si="4"/>
        <v>0</v>
      </c>
      <c r="O16" s="15">
        <f t="shared" ca="1" si="4"/>
        <v>0</v>
      </c>
      <c r="P16" s="15">
        <f t="shared" ca="1" si="5"/>
        <v>0</v>
      </c>
      <c r="Q16" s="15">
        <f t="shared" ca="1" si="5"/>
        <v>0</v>
      </c>
    </row>
    <row r="17" spans="1:17" x14ac:dyDescent="0.2">
      <c r="A17" s="9" t="str">
        <f t="shared" si="6"/>
        <v>Peternakan Telur Sejahtera</v>
      </c>
      <c r="B17" s="13">
        <f ca="1">IFERROR(__xludf.DUMMYFUNCTION("""COMPUTED_VALUE"""),-255637)</f>
        <v>-255637</v>
      </c>
      <c r="C17" s="14" t="str">
        <f ca="1">IFERROR(__xludf.DUMMYFUNCTION("IF(B17="""","""",IFERROR(INDEX(FILTER(INDEX(SaldoAwal,0,6),(TRIM(TO_TEXT(INDEX(SaldoAwal,0,1)))=TRIM(TO_TEXT(B17)))+(TRIM(TO_TEXT(INDEX(SaldoAwal,0,2)))=TRIM(TO_TEXT(B17)))+(TRIM(TO_TEXT(INDEX(SaldoAwal,0,3)))=TRIM(TO_TEXT(B17)))+(TRIM(TO_TEXT(INDEX(Saldo"&amp;"Awal,0,4)))=TRIM(TO_TEXT(B17)))+(TRIM(TO_TEXT(INDEX(SaldoAwal,0,5)))=TRIM(TO_TEXT(B17)))),1),""CEK NAMA AKUN""))"),"Utang Pihak Ketiga Jangka Panjang")</f>
        <v>Utang Pihak Ketiga Jangka Panjang</v>
      </c>
      <c r="D17" s="15">
        <f t="array" aca="1" ref="D17" ca="1">IF(B17="","",IFERROR(SUMIF(INDEX(RekapSaldoAwal,0,1),$B17,INDEX(RekapSaldoAwal,0,3)),0))</f>
        <v>0</v>
      </c>
      <c r="E17" s="15">
        <f t="array" aca="1" ref="E17" ca="1">IF(B17="","",IFERROR(SUMIF(INDEX(RekapSaldoAwal,0,1),$B17,INDEX(RekapSaldoAwal,0,4)),0))</f>
        <v>0</v>
      </c>
      <c r="F17" s="15">
        <f t="array" aca="1" ref="F17" ca="1">IFERROR(SUMIFS(INDEX(RekapJurnalUnit1,0,4),INDEX(RekapJurnalUnit1,0,1),$A17,INDEX(RekapJurnalUnit1,0,2),$B17),0)</f>
        <v>0</v>
      </c>
      <c r="G17" s="15">
        <f t="array" aca="1" ref="G17" ca="1">IFERROR(SUMIFS(INDEX(RekapJurnalUnit1,0,5),INDEX(RekapJurnalUnit1,0,1),$A17,INDEX(RekapJurnalUnit1,0,2),$B17),0)</f>
        <v>0</v>
      </c>
      <c r="H17" s="15">
        <f t="shared" ca="1" si="0"/>
        <v>0</v>
      </c>
      <c r="I17" s="15">
        <f t="shared" ca="1" si="1"/>
        <v>0</v>
      </c>
      <c r="J17" s="15">
        <f t="array" aca="1" ref="J17" ca="1">IFERROR(SUMIFS(INDEX(RekapPenyesuaianUnit1,0,4),INDEX(RekapPenyesuaianUnit1,0,1),$A17,INDEX(RekapPenyesuaianUnit1,0,2),$B17),0)</f>
        <v>0</v>
      </c>
      <c r="K17" s="15">
        <f t="array" aca="1" ref="K17" ca="1">IFERROR(SUMIFS(INDEX(RekapPenyesuaianUnit1,0,5),INDEX(RekapPenyesuaianUnit1,0,1),$A17,INDEX(RekapPenyesuaianUnit1,0,2),$B17),0)</f>
        <v>0</v>
      </c>
      <c r="L17" s="15">
        <f t="shared" ca="1" si="2"/>
        <v>0</v>
      </c>
      <c r="M17" s="15">
        <f t="shared" ca="1" si="3"/>
        <v>0</v>
      </c>
      <c r="N17" s="15">
        <f t="shared" ca="1" si="4"/>
        <v>0</v>
      </c>
      <c r="O17" s="15">
        <f t="shared" ca="1" si="4"/>
        <v>0</v>
      </c>
      <c r="P17" s="15">
        <f t="shared" ca="1" si="5"/>
        <v>0</v>
      </c>
      <c r="Q17" s="15">
        <f t="shared" ca="1" si="5"/>
        <v>0</v>
      </c>
    </row>
    <row r="18" spans="1:17" x14ac:dyDescent="0.2">
      <c r="A18" s="9" t="str">
        <f t="shared" si="6"/>
        <v>Peternakan Telur Sejahtera</v>
      </c>
      <c r="B18" s="13">
        <f ca="1">IFERROR(__xludf.DUMMYFUNCTION("""COMPUTED_VALUE"""),-255608)</f>
        <v>-255608</v>
      </c>
      <c r="C18" s="14" t="str">
        <f ca="1">IFERROR(__xludf.DUMMYFUNCTION("IF(B18="""","""",IFERROR(INDEX(FILTER(INDEX(SaldoAwal,0,6),(TRIM(TO_TEXT(INDEX(SaldoAwal,0,1)))=TRIM(TO_TEXT(B18)))+(TRIM(TO_TEXT(INDEX(SaldoAwal,0,2)))=TRIM(TO_TEXT(B18)))+(TRIM(TO_TEXT(INDEX(SaldoAwal,0,3)))=TRIM(TO_TEXT(B18)))+(TRIM(TO_TEXT(INDEX(Saldo"&amp;"Awal,0,4)))=TRIM(TO_TEXT(B18)))+(TRIM(TO_TEXT(INDEX(SaldoAwal,0,5)))=TRIM(TO_TEXT(B18)))),1),""CEK NAMA AKUN""))"),"Penyertaan Modal Masyarakat")</f>
        <v>Penyertaan Modal Masyarakat</v>
      </c>
      <c r="D18" s="15">
        <f t="array" aca="1" ref="D18" ca="1">IF(B18="","",IFERROR(SUMIF(INDEX(RekapSaldoAwal,0,1),$B18,INDEX(RekapSaldoAwal,0,3)),0))</f>
        <v>0</v>
      </c>
      <c r="E18" s="15">
        <f t="array" aca="1" ref="E18" ca="1">IF(B18="","",IFERROR(SUMIF(INDEX(RekapSaldoAwal,0,1),$B18,INDEX(RekapSaldoAwal,0,4)),0))</f>
        <v>353721000</v>
      </c>
      <c r="F18" s="15">
        <f t="array" aca="1" ref="F18" ca="1">IFERROR(SUMIFS(INDEX(RekapJurnalUnit1,0,4),INDEX(RekapJurnalUnit1,0,1),$A18,INDEX(RekapJurnalUnit1,0,2),$B18),0)</f>
        <v>0</v>
      </c>
      <c r="G18" s="15">
        <f t="array" aca="1" ref="G18" ca="1">IFERROR(SUMIFS(INDEX(RekapJurnalUnit1,0,5),INDEX(RekapJurnalUnit1,0,1),$A18,INDEX(RekapJurnalUnit1,0,2),$B18),0)</f>
        <v>0</v>
      </c>
      <c r="H18" s="15">
        <f t="shared" ca="1" si="0"/>
        <v>0</v>
      </c>
      <c r="I18" s="15">
        <f t="shared" ca="1" si="1"/>
        <v>353721000</v>
      </c>
      <c r="J18" s="15">
        <f t="array" aca="1" ref="J18" ca="1">IFERROR(SUMIFS(INDEX(RekapPenyesuaianUnit1,0,4),INDEX(RekapPenyesuaianUnit1,0,1),$A18,INDEX(RekapPenyesuaianUnit1,0,2),$B18),0)</f>
        <v>0</v>
      </c>
      <c r="K18" s="15">
        <f t="array" aca="1" ref="K18" ca="1">IFERROR(SUMIFS(INDEX(RekapPenyesuaianUnit1,0,5),INDEX(RekapPenyesuaianUnit1,0,1),$A18,INDEX(RekapPenyesuaianUnit1,0,2),$B18),0)</f>
        <v>0</v>
      </c>
      <c r="L18" s="15">
        <f t="shared" ca="1" si="2"/>
        <v>0</v>
      </c>
      <c r="M18" s="15">
        <f t="shared" ca="1" si="3"/>
        <v>353721000</v>
      </c>
      <c r="N18" s="15">
        <f t="shared" ca="1" si="4"/>
        <v>0</v>
      </c>
      <c r="O18" s="15">
        <f t="shared" ca="1" si="4"/>
        <v>0</v>
      </c>
      <c r="P18" s="15">
        <f t="shared" ca="1" si="5"/>
        <v>0</v>
      </c>
      <c r="Q18" s="15">
        <f t="shared" ca="1" si="5"/>
        <v>0</v>
      </c>
    </row>
    <row r="19" spans="1:17" x14ac:dyDescent="0.2">
      <c r="A19" s="9" t="str">
        <f t="shared" si="6"/>
        <v>Peternakan Telur Sejahtera</v>
      </c>
      <c r="B19" s="13">
        <f ca="1">IFERROR(__xludf.DUMMYFUNCTION("""COMPUTED_VALUE"""),-255577)</f>
        <v>-255577</v>
      </c>
      <c r="C19" s="14" t="str">
        <f ca="1">IFERROR(__xludf.DUMMYFUNCTION("IF(B19="""","""",IFERROR(INDEX(FILTER(INDEX(SaldoAwal,0,6),(TRIM(TO_TEXT(INDEX(SaldoAwal,0,1)))=TRIM(TO_TEXT(B19)))+(TRIM(TO_TEXT(INDEX(SaldoAwal,0,2)))=TRIM(TO_TEXT(B19)))+(TRIM(TO_TEXT(INDEX(SaldoAwal,0,3)))=TRIM(TO_TEXT(B19)))+(TRIM(TO_TEXT(INDEX(Saldo"&amp;"Awal,0,4)))=TRIM(TO_TEXT(B19)))+(TRIM(TO_TEXT(INDEX(SaldoAwal,0,5)))=TRIM(TO_TEXT(B19)))),1),""CEK NAMA AKUN""))"),"Pendapatan Penjualan Hasil Produksi")</f>
        <v>Pendapatan Penjualan Hasil Produksi</v>
      </c>
      <c r="D19" s="15">
        <f t="array" aca="1" ref="D19" ca="1">IF(B19="","",IFERROR(SUMIF(INDEX(RekapSaldoAwal,0,1),$B19,INDEX(RekapSaldoAwal,0,3)),0))</f>
        <v>0</v>
      </c>
      <c r="E19" s="15">
        <f t="array" aca="1" ref="E19" ca="1">IF(B19="","",IFERROR(SUMIF(INDEX(RekapSaldoAwal,0,1),$B19,INDEX(RekapSaldoAwal,0,4)),0))</f>
        <v>0</v>
      </c>
      <c r="F19" s="15">
        <f t="array" aca="1" ref="F19" ca="1">IFERROR(SUMIFS(INDEX(RekapJurnalUnit1,0,4),INDEX(RekapJurnalUnit1,0,1),$A19,INDEX(RekapJurnalUnit1,0,2),$B19),0)</f>
        <v>0</v>
      </c>
      <c r="G19" s="15">
        <f t="array" aca="1" ref="G19" ca="1">IFERROR(SUMIFS(INDEX(RekapJurnalUnit1,0,5),INDEX(RekapJurnalUnit1,0,1),$A19,INDEX(RekapJurnalUnit1,0,2),$B19),0)</f>
        <v>0</v>
      </c>
      <c r="H19" s="15">
        <f t="shared" ca="1" si="0"/>
        <v>0</v>
      </c>
      <c r="I19" s="15">
        <f t="shared" ca="1" si="1"/>
        <v>0</v>
      </c>
      <c r="J19" s="15">
        <f t="array" aca="1" ref="J19" ca="1">IFERROR(SUMIFS(INDEX(RekapPenyesuaianUnit1,0,4),INDEX(RekapPenyesuaianUnit1,0,1),$A19,INDEX(RekapPenyesuaianUnit1,0,2),$B19),0)</f>
        <v>0</v>
      </c>
      <c r="K19" s="15">
        <f t="array" aca="1" ref="K19" ca="1">IFERROR(SUMIFS(INDEX(RekapPenyesuaianUnit1,0,5),INDEX(RekapPenyesuaianUnit1,0,1),$A19,INDEX(RekapPenyesuaianUnit1,0,2),$B19),0)</f>
        <v>0</v>
      </c>
      <c r="L19" s="15">
        <f t="shared" ca="1" si="2"/>
        <v>0</v>
      </c>
      <c r="M19" s="15">
        <f t="shared" ca="1" si="3"/>
        <v>0</v>
      </c>
      <c r="N19" s="15">
        <f t="shared" ca="1" si="4"/>
        <v>0</v>
      </c>
      <c r="O19" s="15">
        <f t="shared" ca="1" si="4"/>
        <v>0</v>
      </c>
      <c r="P19" s="15">
        <f t="shared" ca="1" si="5"/>
        <v>0</v>
      </c>
      <c r="Q19" s="15">
        <f t="shared" ca="1" si="5"/>
        <v>0</v>
      </c>
    </row>
    <row r="20" spans="1:17" x14ac:dyDescent="0.2">
      <c r="A20" s="9" t="str">
        <f t="shared" si="6"/>
        <v>Peternakan Telur Sejahtera</v>
      </c>
      <c r="B20" s="13">
        <f ca="1">IFERROR(__xludf.DUMMYFUNCTION("""COMPUTED_VALUE"""),-255547)</f>
        <v>-255547</v>
      </c>
      <c r="C20" s="14" t="str">
        <f ca="1">IFERROR(__xludf.DUMMYFUNCTION("IF(B20="""","""",IFERROR(INDEX(FILTER(INDEX(SaldoAwal,0,6),(TRIM(TO_TEXT(INDEX(SaldoAwal,0,1)))=TRIM(TO_TEXT(B20)))+(TRIM(TO_TEXT(INDEX(SaldoAwal,0,2)))=TRIM(TO_TEXT(B20)))+(TRIM(TO_TEXT(INDEX(SaldoAwal,0,3)))=TRIM(TO_TEXT(B20)))+(TRIM(TO_TEXT(INDEX(Saldo"&amp;"Awal,0,4)))=TRIM(TO_TEXT(B20)))+(TRIM(TO_TEXT(INDEX(SaldoAwal,0,5)))=TRIM(TO_TEXT(B20)))),1),""CEK NAMA AKUN""))"),"HPP Barang Jadi / Hasil Produksi")</f>
        <v>HPP Barang Jadi / Hasil Produksi</v>
      </c>
      <c r="D20" s="15">
        <f t="array" aca="1" ref="D20" ca="1">IF(B20="","",IFERROR(SUMIF(INDEX(RekapSaldoAwal,0,1),$B20,INDEX(RekapSaldoAwal,0,3)),0))</f>
        <v>0</v>
      </c>
      <c r="E20" s="15">
        <f t="array" aca="1" ref="E20" ca="1">IF(B20="","",IFERROR(SUMIF(INDEX(RekapSaldoAwal,0,1),$B20,INDEX(RekapSaldoAwal,0,4)),0))</f>
        <v>0</v>
      </c>
      <c r="F20" s="15">
        <f t="array" aca="1" ref="F20" ca="1">IFERROR(SUMIFS(INDEX(RekapJurnalUnit1,0,4),INDEX(RekapJurnalUnit1,0,1),$A20,INDEX(RekapJurnalUnit1,0,2),$B20),0)</f>
        <v>0</v>
      </c>
      <c r="G20" s="15">
        <f t="array" aca="1" ref="G20" ca="1">IFERROR(SUMIFS(INDEX(RekapJurnalUnit1,0,5),INDEX(RekapJurnalUnit1,0,1),$A20,INDEX(RekapJurnalUnit1,0,2),$B20),0)</f>
        <v>0</v>
      </c>
      <c r="H20" s="15">
        <f t="shared" ca="1" si="0"/>
        <v>0</v>
      </c>
      <c r="I20" s="15">
        <f t="shared" ca="1" si="1"/>
        <v>0</v>
      </c>
      <c r="J20" s="15">
        <f t="array" aca="1" ref="J20" ca="1">IFERROR(SUMIFS(INDEX(RekapPenyesuaianUnit1,0,4),INDEX(RekapPenyesuaianUnit1,0,1),$A20,INDEX(RekapPenyesuaianUnit1,0,2),$B20),0)</f>
        <v>0</v>
      </c>
      <c r="K20" s="15">
        <f t="array" aca="1" ref="K20" ca="1">IFERROR(SUMIFS(INDEX(RekapPenyesuaianUnit1,0,5),INDEX(RekapPenyesuaianUnit1,0,1),$A20,INDEX(RekapPenyesuaianUnit1,0,2),$B20),0)</f>
        <v>0</v>
      </c>
      <c r="L20" s="15">
        <f t="shared" ca="1" si="2"/>
        <v>0</v>
      </c>
      <c r="M20" s="15">
        <f t="shared" ca="1" si="3"/>
        <v>0</v>
      </c>
      <c r="N20" s="15">
        <f t="shared" ca="1" si="4"/>
        <v>0</v>
      </c>
      <c r="O20" s="15">
        <f t="shared" ca="1" si="4"/>
        <v>0</v>
      </c>
      <c r="P20" s="15">
        <f t="shared" ca="1" si="5"/>
        <v>0</v>
      </c>
      <c r="Q20" s="15">
        <f t="shared" ca="1" si="5"/>
        <v>0</v>
      </c>
    </row>
    <row r="21" spans="1:17" x14ac:dyDescent="0.2">
      <c r="A21" s="9" t="str">
        <f t="shared" si="6"/>
        <v>Peternakan Telur Sejahtera</v>
      </c>
      <c r="B21" s="13">
        <f ca="1">IFERROR(__xludf.DUMMYFUNCTION("""COMPUTED_VALUE"""),-252015)</f>
        <v>-252015</v>
      </c>
      <c r="C21" s="14" t="str">
        <f ca="1">IFERROR(__xludf.DUMMYFUNCTION("IF(B21="""","""",IFERROR(INDEX(FILTER(INDEX(SaldoAwal,0,6),(TRIM(TO_TEXT(INDEX(SaldoAwal,0,1)))=TRIM(TO_TEXT(B21)))+(TRIM(TO_TEXT(INDEX(SaldoAwal,0,2)))=TRIM(TO_TEXT(B21)))+(TRIM(TO_TEXT(INDEX(SaldoAwal,0,3)))=TRIM(TO_TEXT(B21)))+(TRIM(TO_TEXT(INDEX(Saldo"&amp;"Awal,0,4)))=TRIM(TO_TEXT(B21)))+(TRIM(TO_TEXT(INDEX(SaldoAwal,0,5)))=TRIM(TO_TEXT(B21)))),1),""CEK NAMA AKUN""))"),"Bank BRI")</f>
        <v>Bank BRI</v>
      </c>
      <c r="D21" s="15">
        <f t="array" aca="1" ref="D21" ca="1">IF(B21="","",IFERROR(SUMIF(INDEX(RekapSaldoAwal,0,1),$B21,INDEX(RekapSaldoAwal,0,3)),0))</f>
        <v>0</v>
      </c>
      <c r="E21" s="15">
        <f t="array" aca="1" ref="E21" ca="1">IF(B21="","",IFERROR(SUMIF(INDEX(RekapSaldoAwal,0,1),$B21,INDEX(RekapSaldoAwal,0,4)),0))</f>
        <v>0</v>
      </c>
      <c r="F21" s="15">
        <f t="array" aca="1" ref="F21" ca="1">IFERROR(SUMIFS(INDEX(RekapJurnalUnit1,0,4),INDEX(RekapJurnalUnit1,0,1),$A21,INDEX(RekapJurnalUnit1,0,2),$B21),0)</f>
        <v>0</v>
      </c>
      <c r="G21" s="15">
        <f t="array" aca="1" ref="G21" ca="1">IFERROR(SUMIFS(INDEX(RekapJurnalUnit1,0,5),INDEX(RekapJurnalUnit1,0,1),$A21,INDEX(RekapJurnalUnit1,0,2),$B21),0)</f>
        <v>0</v>
      </c>
      <c r="H21" s="15">
        <f t="shared" ca="1" si="0"/>
        <v>0</v>
      </c>
      <c r="I21" s="15">
        <f t="shared" ca="1" si="1"/>
        <v>0</v>
      </c>
      <c r="J21" s="15">
        <f t="array" aca="1" ref="J21" ca="1">IFERROR(SUMIFS(INDEX(RekapPenyesuaianUnit1,0,4),INDEX(RekapPenyesuaianUnit1,0,1),$A21,INDEX(RekapPenyesuaianUnit1,0,2),$B21),0)</f>
        <v>0</v>
      </c>
      <c r="K21" s="15">
        <f t="array" aca="1" ref="K21" ca="1">IFERROR(SUMIFS(INDEX(RekapPenyesuaianUnit1,0,5),INDEX(RekapPenyesuaianUnit1,0,1),$A21,INDEX(RekapPenyesuaianUnit1,0,2),$B21),0)</f>
        <v>0</v>
      </c>
      <c r="L21" s="15">
        <f t="shared" ca="1" si="2"/>
        <v>0</v>
      </c>
      <c r="M21" s="15">
        <f t="shared" ca="1" si="3"/>
        <v>0</v>
      </c>
      <c r="N21" s="15">
        <f t="shared" ca="1" si="4"/>
        <v>0</v>
      </c>
      <c r="O21" s="15">
        <f t="shared" ca="1" si="4"/>
        <v>0</v>
      </c>
      <c r="P21" s="15">
        <f t="shared" ca="1" si="5"/>
        <v>0</v>
      </c>
      <c r="Q21" s="15">
        <f t="shared" ca="1" si="5"/>
        <v>0</v>
      </c>
    </row>
    <row r="22" spans="1:17" x14ac:dyDescent="0.2">
      <c r="A22" s="9" t="str">
        <f t="shared" si="6"/>
        <v>Peternakan Telur Sejahtera</v>
      </c>
      <c r="B22" s="13">
        <f ca="1">IFERROR(__xludf.DUMMYFUNCTION("""COMPUTED_VALUE"""),-251650)</f>
        <v>-251650</v>
      </c>
      <c r="C22" s="14" t="str">
        <f ca="1">IFERROR(__xludf.DUMMYFUNCTION("IF(B22="""","""",IFERROR(INDEX(FILTER(INDEX(SaldoAwal,0,6),(TRIM(TO_TEXT(INDEX(SaldoAwal,0,1)))=TRIM(TO_TEXT(B22)))+(TRIM(TO_TEXT(INDEX(SaldoAwal,0,2)))=TRIM(TO_TEXT(B22)))+(TRIM(TO_TEXT(INDEX(SaldoAwal,0,3)))=TRIM(TO_TEXT(B22)))+(TRIM(TO_TEXT(INDEX(Saldo"&amp;"Awal,0,4)))=TRIM(TO_TEXT(B22)))+(TRIM(TO_TEXT(INDEX(SaldoAwal,0,5)))=TRIM(TO_TEXT(B22)))),1),""CEK NAMA AKUN""))"),"Bank Jatim")</f>
        <v>Bank Jatim</v>
      </c>
      <c r="D22" s="15">
        <f t="array" aca="1" ref="D22" ca="1">IF(B22="","",IFERROR(SUMIF(INDEX(RekapSaldoAwal,0,1),$B22,INDEX(RekapSaldoAwal,0,3)),0))</f>
        <v>0</v>
      </c>
      <c r="E22" s="15">
        <f t="array" aca="1" ref="E22" ca="1">IF(B22="","",IFERROR(SUMIF(INDEX(RekapSaldoAwal,0,1),$B22,INDEX(RekapSaldoAwal,0,4)),0))</f>
        <v>0</v>
      </c>
      <c r="F22" s="15">
        <f t="array" aca="1" ref="F22" ca="1">IFERROR(SUMIFS(INDEX(RekapJurnalUnit1,0,4),INDEX(RekapJurnalUnit1,0,1),$A22,INDEX(RekapJurnalUnit1,0,2),$B22),0)</f>
        <v>0</v>
      </c>
      <c r="G22" s="15">
        <f t="array" aca="1" ref="G22" ca="1">IFERROR(SUMIFS(INDEX(RekapJurnalUnit1,0,5),INDEX(RekapJurnalUnit1,0,1),$A22,INDEX(RekapJurnalUnit1,0,2),$B22),0)</f>
        <v>0</v>
      </c>
      <c r="H22" s="15">
        <f t="shared" ca="1" si="0"/>
        <v>0</v>
      </c>
      <c r="I22" s="15">
        <f t="shared" ca="1" si="1"/>
        <v>0</v>
      </c>
      <c r="J22" s="15">
        <f t="array" aca="1" ref="J22" ca="1">IFERROR(SUMIFS(INDEX(RekapPenyesuaianUnit1,0,4),INDEX(RekapPenyesuaianUnit1,0,1),$A22,INDEX(RekapPenyesuaianUnit1,0,2),$B22),0)</f>
        <v>0</v>
      </c>
      <c r="K22" s="15">
        <f t="array" aca="1" ref="K22" ca="1">IFERROR(SUMIFS(INDEX(RekapPenyesuaianUnit1,0,5),INDEX(RekapPenyesuaianUnit1,0,1),$A22,INDEX(RekapPenyesuaianUnit1,0,2),$B22),0)</f>
        <v>0</v>
      </c>
      <c r="L22" s="15">
        <f t="shared" ca="1" si="2"/>
        <v>0</v>
      </c>
      <c r="M22" s="15">
        <f t="shared" ca="1" si="3"/>
        <v>0</v>
      </c>
      <c r="N22" s="15">
        <f t="shared" ca="1" si="4"/>
        <v>0</v>
      </c>
      <c r="O22" s="15">
        <f t="shared" ca="1" si="4"/>
        <v>0</v>
      </c>
      <c r="P22" s="15">
        <f t="shared" ca="1" si="5"/>
        <v>0</v>
      </c>
      <c r="Q22" s="15">
        <f t="shared" ca="1" si="5"/>
        <v>0</v>
      </c>
    </row>
    <row r="23" spans="1:17" x14ac:dyDescent="0.2">
      <c r="A23" s="9" t="str">
        <f t="shared" si="6"/>
        <v>Peternakan Telur Sejahtera</v>
      </c>
      <c r="B23" s="13">
        <f ca="1">IFERROR(__xludf.DUMMYFUNCTION("""COMPUTED_VALUE"""),-251285)</f>
        <v>-251285</v>
      </c>
      <c r="C23" s="14" t="str">
        <f ca="1">IFERROR(__xludf.DUMMYFUNCTION("IF(B23="""","""",IFERROR(INDEX(FILTER(INDEX(SaldoAwal,0,6),(TRIM(TO_TEXT(INDEX(SaldoAwal,0,1)))=TRIM(TO_TEXT(B23)))+(TRIM(TO_TEXT(INDEX(SaldoAwal,0,2)))=TRIM(TO_TEXT(B23)))+(TRIM(TO_TEXT(INDEX(SaldoAwal,0,3)))=TRIM(TO_TEXT(B23)))+(TRIM(TO_TEXT(INDEX(Saldo"&amp;"Awal,0,4)))=TRIM(TO_TEXT(B23)))+(TRIM(TO_TEXT(INDEX(SaldoAwal,0,5)))=TRIM(TO_TEXT(B23)))),1),""CEK NAMA AKUN""))"),"Bank Mandiri")</f>
        <v>Bank Mandiri</v>
      </c>
      <c r="D23" s="15">
        <f t="array" aca="1" ref="D23" ca="1">IF(B23="","",IFERROR(SUMIF(INDEX(RekapSaldoAwal,0,1),$B23,INDEX(RekapSaldoAwal,0,3)),0))</f>
        <v>0</v>
      </c>
      <c r="E23" s="15">
        <f t="array" aca="1" ref="E23" ca="1">IF(B23="","",IFERROR(SUMIF(INDEX(RekapSaldoAwal,0,1),$B23,INDEX(RekapSaldoAwal,0,4)),0))</f>
        <v>0</v>
      </c>
      <c r="F23" s="15">
        <f t="array" aca="1" ref="F23" ca="1">IFERROR(SUMIFS(INDEX(RekapJurnalUnit1,0,4),INDEX(RekapJurnalUnit1,0,1),$A23,INDEX(RekapJurnalUnit1,0,2),$B23),0)</f>
        <v>0</v>
      </c>
      <c r="G23" s="15">
        <f t="array" aca="1" ref="G23" ca="1">IFERROR(SUMIFS(INDEX(RekapJurnalUnit1,0,5),INDEX(RekapJurnalUnit1,0,1),$A23,INDEX(RekapJurnalUnit1,0,2),$B23),0)</f>
        <v>0</v>
      </c>
      <c r="H23" s="15">
        <f t="shared" ca="1" si="0"/>
        <v>0</v>
      </c>
      <c r="I23" s="15">
        <f t="shared" ca="1" si="1"/>
        <v>0</v>
      </c>
      <c r="J23" s="15">
        <f t="array" aca="1" ref="J23" ca="1">IFERROR(SUMIFS(INDEX(RekapPenyesuaianUnit1,0,4),INDEX(RekapPenyesuaianUnit1,0,1),$A23,INDEX(RekapPenyesuaianUnit1,0,2),$B23),0)</f>
        <v>0</v>
      </c>
      <c r="K23" s="15">
        <f t="array" aca="1" ref="K23" ca="1">IFERROR(SUMIFS(INDEX(RekapPenyesuaianUnit1,0,5),INDEX(RekapPenyesuaianUnit1,0,1),$A23,INDEX(RekapPenyesuaianUnit1,0,2),$B23),0)</f>
        <v>0</v>
      </c>
      <c r="L23" s="15">
        <f t="shared" ca="1" si="2"/>
        <v>0</v>
      </c>
      <c r="M23" s="15">
        <f t="shared" ca="1" si="3"/>
        <v>0</v>
      </c>
      <c r="N23" s="15">
        <f t="shared" ref="N23:O38" ca="1" si="7">IF(OR(LEFT($B23,1)="4",LEFT($B23,1)="5"),L23,0)</f>
        <v>0</v>
      </c>
      <c r="O23" s="15">
        <f t="shared" ca="1" si="7"/>
        <v>0</v>
      </c>
      <c r="P23" s="15">
        <f t="shared" ref="P23:Q38" ca="1" si="8">IF(OR(LEFT($B23,1)="1",LEFT($B23,1)="2",LEFT($B23,1)="3"),L23,0)</f>
        <v>0</v>
      </c>
      <c r="Q23" s="15">
        <f t="shared" ca="1" si="8"/>
        <v>0</v>
      </c>
    </row>
    <row r="24" spans="1:17" x14ac:dyDescent="0.2">
      <c r="A24" s="9" t="str">
        <f t="shared" si="6"/>
        <v>Peternakan Telur Sejahtera</v>
      </c>
      <c r="B24" s="13">
        <f ca="1">IFERROR(__xludf.DUMMYFUNCTION("""COMPUTED_VALUE"""),-219112)</f>
        <v>-219112</v>
      </c>
      <c r="C24" s="14" t="str">
        <f ca="1">IFERROR(__xludf.DUMMYFUNCTION("IF(B24="""","""",IFERROR(INDEX(FILTER(INDEX(SaldoAwal,0,6),(TRIM(TO_TEXT(INDEX(SaldoAwal,0,1)))=TRIM(TO_TEXT(B24)))+(TRIM(TO_TEXT(INDEX(SaldoAwal,0,2)))=TRIM(TO_TEXT(B24)))+(TRIM(TO_TEXT(INDEX(SaldoAwal,0,3)))=TRIM(TO_TEXT(B24)))+(TRIM(TO_TEXT(INDEX(Saldo"&amp;"Awal,0,4)))=TRIM(TO_TEXT(B24)))+(TRIM(TO_TEXT(INDEX(SaldoAwal,0,5)))=TRIM(TO_TEXT(B24)))),1),""CEK NAMA AKUN""))"),"Utang Jangka Panjang Lainnya")</f>
        <v>Utang Jangka Panjang Lainnya</v>
      </c>
      <c r="D24" s="15">
        <f t="array" aca="1" ref="D24" ca="1">IF(B24="","",IFERROR(SUMIF(INDEX(RekapSaldoAwal,0,1),$B24,INDEX(RekapSaldoAwal,0,3)),0))</f>
        <v>0</v>
      </c>
      <c r="E24" s="15">
        <f t="array" aca="1" ref="E24" ca="1">IF(B24="","",IFERROR(SUMIF(INDEX(RekapSaldoAwal,0,1),$B24,INDEX(RekapSaldoAwal,0,4)),0))</f>
        <v>0</v>
      </c>
      <c r="F24" s="15">
        <f t="array" aca="1" ref="F24" ca="1">IFERROR(SUMIFS(INDEX(RekapJurnalUnit1,0,4),INDEX(RekapJurnalUnit1,0,1),$A24,INDEX(RekapJurnalUnit1,0,2),$B24),0)</f>
        <v>0</v>
      </c>
      <c r="G24" s="15">
        <f t="array" aca="1" ref="G24" ca="1">IFERROR(SUMIFS(INDEX(RekapJurnalUnit1,0,5),INDEX(RekapJurnalUnit1,0,1),$A24,INDEX(RekapJurnalUnit1,0,2),$B24),0)</f>
        <v>0</v>
      </c>
      <c r="H24" s="15">
        <f t="shared" ca="1" si="0"/>
        <v>0</v>
      </c>
      <c r="I24" s="15">
        <f t="shared" ca="1" si="1"/>
        <v>0</v>
      </c>
      <c r="J24" s="15">
        <f t="array" aca="1" ref="J24" ca="1">IFERROR(SUMIFS(INDEX(RekapPenyesuaianUnit1,0,4),INDEX(RekapPenyesuaianUnit1,0,1),$A24,INDEX(RekapPenyesuaianUnit1,0,2),$B24),0)</f>
        <v>0</v>
      </c>
      <c r="K24" s="15">
        <f t="array" aca="1" ref="K24" ca="1">IFERROR(SUMIFS(INDEX(RekapPenyesuaianUnit1,0,5),INDEX(RekapPenyesuaianUnit1,0,1),$A24,INDEX(RekapPenyesuaianUnit1,0,2),$B24),0)</f>
        <v>0</v>
      </c>
      <c r="L24" s="15">
        <f t="shared" ca="1" si="2"/>
        <v>0</v>
      </c>
      <c r="M24" s="15">
        <f t="shared" ca="1" si="3"/>
        <v>0</v>
      </c>
      <c r="N24" s="15">
        <f t="shared" ca="1" si="7"/>
        <v>0</v>
      </c>
      <c r="O24" s="15">
        <f t="shared" ca="1" si="7"/>
        <v>0</v>
      </c>
      <c r="P24" s="15">
        <f t="shared" ca="1" si="8"/>
        <v>0</v>
      </c>
      <c r="Q24" s="15">
        <f t="shared" ca="1" si="8"/>
        <v>0</v>
      </c>
    </row>
    <row r="25" spans="1:17" x14ac:dyDescent="0.2">
      <c r="A25" s="9" t="str">
        <f t="shared" si="6"/>
        <v>Peternakan Telur Sejahtera</v>
      </c>
      <c r="B25" s="13">
        <f ca="1">IFERROR(__xludf.DUMMYFUNCTION("""COMPUTED_VALUE"""),-219084)</f>
        <v>-219084</v>
      </c>
      <c r="C25" s="14" t="str">
        <f ca="1">IFERROR(__xludf.DUMMYFUNCTION("IF(B25="""","""",IFERROR(INDEX(FILTER(INDEX(SaldoAwal,0,6),(TRIM(TO_TEXT(INDEX(SaldoAwal,0,1)))=TRIM(TO_TEXT(B25)))+(TRIM(TO_TEXT(INDEX(SaldoAwal,0,2)))=TRIM(TO_TEXT(B25)))+(TRIM(TO_TEXT(INDEX(SaldoAwal,0,3)))=TRIM(TO_TEXT(B25)))+(TRIM(TO_TEXT(INDEX(Saldo"&amp;"Awal,0,4)))=TRIM(TO_TEXT(B25)))+(TRIM(TO_TEXT(INDEX(SaldoAwal,0,5)))=TRIM(TO_TEXT(B25)))),1),""CEK NAMA AKUN""))"),"Penyertaan Modal Bantuan Pemerintah/BKK")</f>
        <v>Penyertaan Modal Bantuan Pemerintah/BKK</v>
      </c>
      <c r="D25" s="15">
        <f t="array" aca="1" ref="D25" ca="1">IF(B25="","",IFERROR(SUMIF(INDEX(RekapSaldoAwal,0,1),$B25,INDEX(RekapSaldoAwal,0,3)),0))</f>
        <v>0</v>
      </c>
      <c r="E25" s="15">
        <f t="array" aca="1" ref="E25" ca="1">IF(B25="","",IFERROR(SUMIF(INDEX(RekapSaldoAwal,0,1),$B25,INDEX(RekapSaldoAwal,0,4)),0))</f>
        <v>0</v>
      </c>
      <c r="F25" s="15">
        <f t="array" aca="1" ref="F25" ca="1">IFERROR(SUMIFS(INDEX(RekapJurnalUnit1,0,4),INDEX(RekapJurnalUnit1,0,1),$A25,INDEX(RekapJurnalUnit1,0,2),$B25),0)</f>
        <v>0</v>
      </c>
      <c r="G25" s="15">
        <f t="array" aca="1" ref="G25" ca="1">IFERROR(SUMIFS(INDEX(RekapJurnalUnit1,0,5),INDEX(RekapJurnalUnit1,0,1),$A25,INDEX(RekapJurnalUnit1,0,2),$B25),0)</f>
        <v>0</v>
      </c>
      <c r="H25" s="15">
        <f t="shared" ca="1" si="0"/>
        <v>0</v>
      </c>
      <c r="I25" s="15">
        <f t="shared" ca="1" si="1"/>
        <v>0</v>
      </c>
      <c r="J25" s="15">
        <f t="array" aca="1" ref="J25" ca="1">IFERROR(SUMIFS(INDEX(RekapPenyesuaianUnit1,0,4),INDEX(RekapPenyesuaianUnit1,0,1),$A25,INDEX(RekapPenyesuaianUnit1,0,2),$B25),0)</f>
        <v>0</v>
      </c>
      <c r="K25" s="15">
        <f t="array" aca="1" ref="K25" ca="1">IFERROR(SUMIFS(INDEX(RekapPenyesuaianUnit1,0,5),INDEX(RekapPenyesuaianUnit1,0,1),$A25,INDEX(RekapPenyesuaianUnit1,0,2),$B25),0)</f>
        <v>0</v>
      </c>
      <c r="L25" s="15">
        <f t="shared" ca="1" si="2"/>
        <v>0</v>
      </c>
      <c r="M25" s="15">
        <f t="shared" ca="1" si="3"/>
        <v>0</v>
      </c>
      <c r="N25" s="15">
        <f t="shared" ca="1" si="7"/>
        <v>0</v>
      </c>
      <c r="O25" s="15">
        <f t="shared" ca="1" si="7"/>
        <v>0</v>
      </c>
      <c r="P25" s="15">
        <f t="shared" ca="1" si="8"/>
        <v>0</v>
      </c>
      <c r="Q25" s="15">
        <f t="shared" ca="1" si="8"/>
        <v>0</v>
      </c>
    </row>
    <row r="26" spans="1:17" x14ac:dyDescent="0.2">
      <c r="A26" s="9" t="str">
        <f t="shared" si="6"/>
        <v>Peternakan Telur Sejahtera</v>
      </c>
      <c r="B26" s="13">
        <f ca="1">IFERROR(__xludf.DUMMYFUNCTION("""COMPUTED_VALUE"""),-219053)</f>
        <v>-219053</v>
      </c>
      <c r="C26" s="14" t="str">
        <f ca="1">IFERROR(__xludf.DUMMYFUNCTION("IF(B26="""","""",IFERROR(INDEX(FILTER(INDEX(SaldoAwal,0,6),(TRIM(TO_TEXT(INDEX(SaldoAwal,0,1)))=TRIM(TO_TEXT(B26)))+(TRIM(TO_TEXT(INDEX(SaldoAwal,0,2)))=TRIM(TO_TEXT(B26)))+(TRIM(TO_TEXT(INDEX(SaldoAwal,0,3)))=TRIM(TO_TEXT(B26)))+(TRIM(TO_TEXT(INDEX(Saldo"&amp;"Awal,0,4)))=TRIM(TO_TEXT(B26)))+(TRIM(TO_TEXT(INDEX(SaldoAwal,0,5)))=TRIM(TO_TEXT(B26)))),1),""CEK NAMA AKUN""))"),"Pendapatan Jasa")</f>
        <v>Pendapatan Jasa</v>
      </c>
      <c r="D26" s="15">
        <f t="array" aca="1" ref="D26" ca="1">IF(B26="","",IFERROR(SUMIF(INDEX(RekapSaldoAwal,0,1),$B26,INDEX(RekapSaldoAwal,0,3)),0))</f>
        <v>0</v>
      </c>
      <c r="E26" s="15">
        <f t="array" aca="1" ref="E26" ca="1">IF(B26="","",IFERROR(SUMIF(INDEX(RekapSaldoAwal,0,1),$B26,INDEX(RekapSaldoAwal,0,4)),0))</f>
        <v>0</v>
      </c>
      <c r="F26" s="15">
        <f t="array" aca="1" ref="F26" ca="1">IFERROR(SUMIFS(INDEX(RekapJurnalUnit1,0,4),INDEX(RekapJurnalUnit1,0,1),$A26,INDEX(RekapJurnalUnit1,0,2),$B26),0)</f>
        <v>0</v>
      </c>
      <c r="G26" s="15">
        <f t="array" aca="1" ref="G26" ca="1">IFERROR(SUMIFS(INDEX(RekapJurnalUnit1,0,5),INDEX(RekapJurnalUnit1,0,1),$A26,INDEX(RekapJurnalUnit1,0,2),$B26),0)</f>
        <v>0</v>
      </c>
      <c r="H26" s="15">
        <f t="shared" ca="1" si="0"/>
        <v>0</v>
      </c>
      <c r="I26" s="15">
        <f t="shared" ca="1" si="1"/>
        <v>0</v>
      </c>
      <c r="J26" s="15">
        <f t="array" aca="1" ref="J26" ca="1">IFERROR(SUMIFS(INDEX(RekapPenyesuaianUnit1,0,4),INDEX(RekapPenyesuaianUnit1,0,1),$A26,INDEX(RekapPenyesuaianUnit1,0,2),$B26),0)</f>
        <v>0</v>
      </c>
      <c r="K26" s="15">
        <f t="array" aca="1" ref="K26" ca="1">IFERROR(SUMIFS(INDEX(RekapPenyesuaianUnit1,0,5),INDEX(RekapPenyesuaianUnit1,0,1),$A26,INDEX(RekapPenyesuaianUnit1,0,2),$B26),0)</f>
        <v>0</v>
      </c>
      <c r="L26" s="15">
        <f t="shared" ca="1" si="2"/>
        <v>0</v>
      </c>
      <c r="M26" s="15">
        <f t="shared" ca="1" si="3"/>
        <v>0</v>
      </c>
      <c r="N26" s="15">
        <f t="shared" ca="1" si="7"/>
        <v>0</v>
      </c>
      <c r="O26" s="15">
        <f t="shared" ca="1" si="7"/>
        <v>0</v>
      </c>
      <c r="P26" s="15">
        <f t="shared" ca="1" si="8"/>
        <v>0</v>
      </c>
      <c r="Q26" s="15">
        <f t="shared" ca="1" si="8"/>
        <v>0</v>
      </c>
    </row>
    <row r="27" spans="1:17" x14ac:dyDescent="0.2">
      <c r="A27" s="9" t="str">
        <f t="shared" si="6"/>
        <v>Peternakan Telur Sejahtera</v>
      </c>
      <c r="B27" s="13">
        <f ca="1">IFERROR(__xludf.DUMMYFUNCTION("""COMPUTED_VALUE"""),-215491)</f>
        <v>-215491</v>
      </c>
      <c r="C27" s="14" t="str">
        <f ca="1">IFERROR(__xludf.DUMMYFUNCTION("IF(B27="""","""",IFERROR(INDEX(FILTER(INDEX(SaldoAwal,0,6),(TRIM(TO_TEXT(INDEX(SaldoAwal,0,1)))=TRIM(TO_TEXT(B27)))+(TRIM(TO_TEXT(INDEX(SaldoAwal,0,2)))=TRIM(TO_TEXT(B27)))+(TRIM(TO_TEXT(INDEX(SaldoAwal,0,3)))=TRIM(TO_TEXT(B27)))+(TRIM(TO_TEXT(INDEX(Saldo"&amp;"Awal,0,4)))=TRIM(TO_TEXT(B27)))+(TRIM(TO_TEXT(INDEX(SaldoAwal,0,5)))=TRIM(TO_TEXT(B27)))),1),""CEK NAMA AKUN""))"),"Piutang Usaha")</f>
        <v>Piutang Usaha</v>
      </c>
      <c r="D27" s="15">
        <f t="array" aca="1" ref="D27" ca="1">IF(B27="","",IFERROR(SUMIF(INDEX(RekapSaldoAwal,0,1),$B27,INDEX(RekapSaldoAwal,0,3)),0))</f>
        <v>0</v>
      </c>
      <c r="E27" s="15">
        <f t="array" aca="1" ref="E27" ca="1">IF(B27="","",IFERROR(SUMIF(INDEX(RekapSaldoAwal,0,1),$B27,INDEX(RekapSaldoAwal,0,4)),0))</f>
        <v>0</v>
      </c>
      <c r="F27" s="15">
        <f t="array" aca="1" ref="F27" ca="1">IFERROR(SUMIFS(INDEX(RekapJurnalUnit1,0,4),INDEX(RekapJurnalUnit1,0,1),$A27,INDEX(RekapJurnalUnit1,0,2),$B27),0)</f>
        <v>0</v>
      </c>
      <c r="G27" s="15">
        <f t="array" aca="1" ref="G27" ca="1">IFERROR(SUMIFS(INDEX(RekapJurnalUnit1,0,5),INDEX(RekapJurnalUnit1,0,1),$A27,INDEX(RekapJurnalUnit1,0,2),$B27),0)</f>
        <v>0</v>
      </c>
      <c r="H27" s="15">
        <f t="shared" ca="1" si="0"/>
        <v>0</v>
      </c>
      <c r="I27" s="15">
        <f t="shared" ca="1" si="1"/>
        <v>0</v>
      </c>
      <c r="J27" s="15">
        <f t="array" aca="1" ref="J27" ca="1">IFERROR(SUMIFS(INDEX(RekapPenyesuaianUnit1,0,4),INDEX(RekapPenyesuaianUnit1,0,1),$A27,INDEX(RekapPenyesuaianUnit1,0,2),$B27),0)</f>
        <v>0</v>
      </c>
      <c r="K27" s="15">
        <f t="array" aca="1" ref="K27" ca="1">IFERROR(SUMIFS(INDEX(RekapPenyesuaianUnit1,0,5),INDEX(RekapPenyesuaianUnit1,0,1),$A27,INDEX(RekapPenyesuaianUnit1,0,2),$B27),0)</f>
        <v>0</v>
      </c>
      <c r="L27" s="15">
        <f t="shared" ca="1" si="2"/>
        <v>0</v>
      </c>
      <c r="M27" s="15">
        <f t="shared" ca="1" si="3"/>
        <v>0</v>
      </c>
      <c r="N27" s="15">
        <f t="shared" ca="1" si="7"/>
        <v>0</v>
      </c>
      <c r="O27" s="15">
        <f t="shared" ca="1" si="7"/>
        <v>0</v>
      </c>
      <c r="P27" s="15">
        <f t="shared" ca="1" si="8"/>
        <v>0</v>
      </c>
      <c r="Q27" s="15">
        <f t="shared" ca="1" si="8"/>
        <v>0</v>
      </c>
    </row>
    <row r="28" spans="1:17" x14ac:dyDescent="0.2">
      <c r="A28" s="9" t="str">
        <f t="shared" si="6"/>
        <v>Peternakan Telur Sejahtera</v>
      </c>
      <c r="B28" s="13">
        <f ca="1">IFERROR(__xludf.DUMMYFUNCTION("""COMPUTED_VALUE"""),-211839)</f>
        <v>-211839</v>
      </c>
      <c r="C28" s="14" t="str">
        <f ca="1">IFERROR(__xludf.DUMMYFUNCTION("IF(B28="""","""",IFERROR(INDEX(FILTER(INDEX(SaldoAwal,0,6),(TRIM(TO_TEXT(INDEX(SaldoAwal,0,1)))=TRIM(TO_TEXT(B28)))+(TRIM(TO_TEXT(INDEX(SaldoAwal,0,2)))=TRIM(TO_TEXT(B28)))+(TRIM(TO_TEXT(INDEX(SaldoAwal,0,3)))=TRIM(TO_TEXT(B28)))+(TRIM(TO_TEXT(INDEX(Saldo"&amp;"Awal,0,4)))=TRIM(TO_TEXT(B28)))+(TRIM(TO_TEXT(INDEX(SaldoAwal,0,5)))=TRIM(TO_TEXT(B28)))),1),""CEK NAMA AKUN""))"),"Penyisihan Piutang Tak Tertagih")</f>
        <v>Penyisihan Piutang Tak Tertagih</v>
      </c>
      <c r="D28" s="15">
        <f t="array" aca="1" ref="D28" ca="1">IF(B28="","",IFERROR(SUMIF(INDEX(RekapSaldoAwal,0,1),$B28,INDEX(RekapSaldoAwal,0,3)),0))</f>
        <v>0</v>
      </c>
      <c r="E28" s="15">
        <f t="array" aca="1" ref="E28" ca="1">IF(B28="","",IFERROR(SUMIF(INDEX(RekapSaldoAwal,0,1),$B28,INDEX(RekapSaldoAwal,0,4)),0))</f>
        <v>0</v>
      </c>
      <c r="F28" s="15">
        <f t="array" aca="1" ref="F28" ca="1">IFERROR(SUMIFS(INDEX(RekapJurnalUnit1,0,4),INDEX(RekapJurnalUnit1,0,1),$A28,INDEX(RekapJurnalUnit1,0,2),$B28),0)</f>
        <v>0</v>
      </c>
      <c r="G28" s="15">
        <f t="array" aca="1" ref="G28" ca="1">IFERROR(SUMIFS(INDEX(RekapJurnalUnit1,0,5),INDEX(RekapJurnalUnit1,0,1),$A28,INDEX(RekapJurnalUnit1,0,2),$B28),0)</f>
        <v>0</v>
      </c>
      <c r="H28" s="15">
        <f t="shared" ca="1" si="0"/>
        <v>0</v>
      </c>
      <c r="I28" s="15">
        <f t="shared" ca="1" si="1"/>
        <v>0</v>
      </c>
      <c r="J28" s="15">
        <f t="array" aca="1" ref="J28" ca="1">IFERROR(SUMIFS(INDEX(RekapPenyesuaianUnit1,0,4),INDEX(RekapPenyesuaianUnit1,0,1),$A28,INDEX(RekapPenyesuaianUnit1,0,2),$B28),0)</f>
        <v>0</v>
      </c>
      <c r="K28" s="15">
        <f t="array" aca="1" ref="K28" ca="1">IFERROR(SUMIFS(INDEX(RekapPenyesuaianUnit1,0,5),INDEX(RekapPenyesuaianUnit1,0,1),$A28,INDEX(RekapPenyesuaianUnit1,0,2),$B28),0)</f>
        <v>0</v>
      </c>
      <c r="L28" s="15">
        <f t="shared" ca="1" si="2"/>
        <v>0</v>
      </c>
      <c r="M28" s="15">
        <f t="shared" ca="1" si="3"/>
        <v>0</v>
      </c>
      <c r="N28" s="15">
        <f t="shared" ca="1" si="7"/>
        <v>0</v>
      </c>
      <c r="O28" s="15">
        <f t="shared" ca="1" si="7"/>
        <v>0</v>
      </c>
      <c r="P28" s="15">
        <f t="shared" ca="1" si="8"/>
        <v>0</v>
      </c>
      <c r="Q28" s="15">
        <f t="shared" ca="1" si="8"/>
        <v>0</v>
      </c>
    </row>
    <row r="29" spans="1:17" x14ac:dyDescent="0.2">
      <c r="A29" s="9" t="str">
        <f t="shared" si="6"/>
        <v>Peternakan Telur Sejahtera</v>
      </c>
      <c r="B29" s="13">
        <f ca="1">IFERROR(__xludf.DUMMYFUNCTION("""COMPUTED_VALUE"""),-182560)</f>
        <v>-182560</v>
      </c>
      <c r="C29" s="14" t="str">
        <f ca="1">IFERROR(__xludf.DUMMYFUNCTION("IF(B29="""","""",IFERROR(INDEX(FILTER(INDEX(SaldoAwal,0,6),(TRIM(TO_TEXT(INDEX(SaldoAwal,0,1)))=TRIM(TO_TEXT(B29)))+(TRIM(TO_TEXT(INDEX(SaldoAwal,0,2)))=TRIM(TO_TEXT(B29)))+(TRIM(TO_TEXT(INDEX(SaldoAwal,0,3)))=TRIM(TO_TEXT(B29)))+(TRIM(TO_TEXT(INDEX(Saldo"&amp;"Awal,0,4)))=TRIM(TO_TEXT(B29)))+(TRIM(TO_TEXT(INDEX(SaldoAwal,0,5)))=TRIM(TO_TEXT(B29)))),1),""CEK NAMA AKUN""))"),"Tambahan Penyertaan Modal")</f>
        <v>Tambahan Penyertaan Modal</v>
      </c>
      <c r="D29" s="15">
        <f t="array" aca="1" ref="D29" ca="1">IF(B29="","",IFERROR(SUMIF(INDEX(RekapSaldoAwal,0,1),$B29,INDEX(RekapSaldoAwal,0,3)),0))</f>
        <v>0</v>
      </c>
      <c r="E29" s="15">
        <f t="array" aca="1" ref="E29" ca="1">IF(B29="","",IFERROR(SUMIF(INDEX(RekapSaldoAwal,0,1),$B29,INDEX(RekapSaldoAwal,0,4)),0))</f>
        <v>0</v>
      </c>
      <c r="F29" s="15">
        <f t="array" aca="1" ref="F29" ca="1">IFERROR(SUMIFS(INDEX(RekapJurnalUnit1,0,4),INDEX(RekapJurnalUnit1,0,1),$A29,INDEX(RekapJurnalUnit1,0,2),$B29),0)</f>
        <v>0</v>
      </c>
      <c r="G29" s="15">
        <f t="array" aca="1" ref="G29" ca="1">IFERROR(SUMIFS(INDEX(RekapJurnalUnit1,0,5),INDEX(RekapJurnalUnit1,0,1),$A29,INDEX(RekapJurnalUnit1,0,2),$B29),0)</f>
        <v>0</v>
      </c>
      <c r="H29" s="15">
        <f t="shared" ca="1" si="0"/>
        <v>0</v>
      </c>
      <c r="I29" s="15">
        <f t="shared" ca="1" si="1"/>
        <v>0</v>
      </c>
      <c r="J29" s="15">
        <f t="array" aca="1" ref="J29" ca="1">IFERROR(SUMIFS(INDEX(RekapPenyesuaianUnit1,0,4),INDEX(RekapPenyesuaianUnit1,0,1),$A29,INDEX(RekapPenyesuaianUnit1,0,2),$B29),0)</f>
        <v>0</v>
      </c>
      <c r="K29" s="15">
        <f t="array" aca="1" ref="K29" ca="1">IFERROR(SUMIFS(INDEX(RekapPenyesuaianUnit1,0,5),INDEX(RekapPenyesuaianUnit1,0,1),$A29,INDEX(RekapPenyesuaianUnit1,0,2),$B29),0)</f>
        <v>0</v>
      </c>
      <c r="L29" s="15">
        <f t="shared" ca="1" si="2"/>
        <v>0</v>
      </c>
      <c r="M29" s="15">
        <f t="shared" ca="1" si="3"/>
        <v>0</v>
      </c>
      <c r="N29" s="15">
        <f t="shared" ca="1" si="7"/>
        <v>0</v>
      </c>
      <c r="O29" s="15">
        <f t="shared" ca="1" si="7"/>
        <v>0</v>
      </c>
      <c r="P29" s="15">
        <f t="shared" ca="1" si="8"/>
        <v>0</v>
      </c>
      <c r="Q29" s="15">
        <f t="shared" ca="1" si="8"/>
        <v>0</v>
      </c>
    </row>
    <row r="30" spans="1:17" x14ac:dyDescent="0.2">
      <c r="A30" s="9" t="str">
        <f t="shared" si="6"/>
        <v>Peternakan Telur Sejahtera</v>
      </c>
      <c r="B30" s="13">
        <f ca="1">IFERROR(__xludf.DUMMYFUNCTION("""COMPUTED_VALUE"""),-182529)</f>
        <v>-182529</v>
      </c>
      <c r="C30" s="14" t="str">
        <f ca="1">IFERROR(__xludf.DUMMYFUNCTION("IF(B30="""","""",IFERROR(INDEX(FILTER(INDEX(SaldoAwal,0,6),(TRIM(TO_TEXT(INDEX(SaldoAwal,0,1)))=TRIM(TO_TEXT(B30)))+(TRIM(TO_TEXT(INDEX(SaldoAwal,0,2)))=TRIM(TO_TEXT(B30)))+(TRIM(TO_TEXT(INDEX(SaldoAwal,0,3)))=TRIM(TO_TEXT(B30)))+(TRIM(TO_TEXT(INDEX(Saldo"&amp;"Awal,0,4)))=TRIM(TO_TEXT(B30)))+(TRIM(TO_TEXT(INDEX(SaldoAwal,0,5)))=TRIM(TO_TEXT(B30)))),1),""CEK NAMA AKUN""))"),"Pendapatan Sewa")</f>
        <v>Pendapatan Sewa</v>
      </c>
      <c r="D30" s="15">
        <f t="array" aca="1" ref="D30" ca="1">IF(B30="","",IFERROR(SUMIF(INDEX(RekapSaldoAwal,0,1),$B30,INDEX(RekapSaldoAwal,0,3)),0))</f>
        <v>0</v>
      </c>
      <c r="E30" s="15">
        <f t="array" aca="1" ref="E30" ca="1">IF(B30="","",IFERROR(SUMIF(INDEX(RekapSaldoAwal,0,1),$B30,INDEX(RekapSaldoAwal,0,4)),0))</f>
        <v>0</v>
      </c>
      <c r="F30" s="15">
        <f t="array" aca="1" ref="F30" ca="1">IFERROR(SUMIFS(INDEX(RekapJurnalUnit1,0,4),INDEX(RekapJurnalUnit1,0,1),$A30,INDEX(RekapJurnalUnit1,0,2),$B30),0)</f>
        <v>0</v>
      </c>
      <c r="G30" s="15">
        <f t="array" aca="1" ref="G30" ca="1">IFERROR(SUMIFS(INDEX(RekapJurnalUnit1,0,5),INDEX(RekapJurnalUnit1,0,1),$A30,INDEX(RekapJurnalUnit1,0,2),$B30),0)</f>
        <v>0</v>
      </c>
      <c r="H30" s="15">
        <f t="shared" ca="1" si="0"/>
        <v>0</v>
      </c>
      <c r="I30" s="15">
        <f t="shared" ca="1" si="1"/>
        <v>0</v>
      </c>
      <c r="J30" s="15">
        <f t="array" aca="1" ref="J30" ca="1">IFERROR(SUMIFS(INDEX(RekapPenyesuaianUnit1,0,4),INDEX(RekapPenyesuaianUnit1,0,1),$A30,INDEX(RekapPenyesuaianUnit1,0,2),$B30),0)</f>
        <v>0</v>
      </c>
      <c r="K30" s="15">
        <f t="array" aca="1" ref="K30" ca="1">IFERROR(SUMIFS(INDEX(RekapPenyesuaianUnit1,0,5),INDEX(RekapPenyesuaianUnit1,0,1),$A30,INDEX(RekapPenyesuaianUnit1,0,2),$B30),0)</f>
        <v>0</v>
      </c>
      <c r="L30" s="15">
        <f t="shared" ca="1" si="2"/>
        <v>0</v>
      </c>
      <c r="M30" s="15">
        <f t="shared" ca="1" si="3"/>
        <v>0</v>
      </c>
      <c r="N30" s="15">
        <f t="shared" ca="1" si="7"/>
        <v>0</v>
      </c>
      <c r="O30" s="15">
        <f t="shared" ca="1" si="7"/>
        <v>0</v>
      </c>
      <c r="P30" s="15">
        <f t="shared" ca="1" si="8"/>
        <v>0</v>
      </c>
      <c r="Q30" s="15">
        <f t="shared" ca="1" si="8"/>
        <v>0</v>
      </c>
    </row>
    <row r="31" spans="1:17" x14ac:dyDescent="0.2">
      <c r="A31" s="9" t="str">
        <f t="shared" si="6"/>
        <v>Peternakan Telur Sejahtera</v>
      </c>
      <c r="B31" s="13">
        <f ca="1">IFERROR(__xludf.DUMMYFUNCTION("""COMPUTED_VALUE"""),-178967)</f>
        <v>-178967</v>
      </c>
      <c r="C31" s="14" t="str">
        <f ca="1">IFERROR(__xludf.DUMMYFUNCTION("IF(B31="""","""",IFERROR(INDEX(FILTER(INDEX(SaldoAwal,0,6),(TRIM(TO_TEXT(INDEX(SaldoAwal,0,1)))=TRIM(TO_TEXT(B31)))+(TRIM(TO_TEXT(INDEX(SaldoAwal,0,2)))=TRIM(TO_TEXT(B31)))+(TRIM(TO_TEXT(INDEX(SaldoAwal,0,3)))=TRIM(TO_TEXT(B31)))+(TRIM(TO_TEXT(INDEX(Saldo"&amp;"Awal,0,4)))=TRIM(TO_TEXT(B31)))+(TRIM(TO_TEXT(INDEX(SaldoAwal,0,5)))=TRIM(TO_TEXT(B31)))),1),""CEK NAMA AKUN""))"),"Persediaan Barang Dagangan")</f>
        <v>Persediaan Barang Dagangan</v>
      </c>
      <c r="D31" s="15">
        <f t="array" aca="1" ref="D31" ca="1">IF(B31="","",IFERROR(SUMIF(INDEX(RekapSaldoAwal,0,1),$B31,INDEX(RekapSaldoAwal,0,3)),0))</f>
        <v>0</v>
      </c>
      <c r="E31" s="15">
        <f t="array" aca="1" ref="E31" ca="1">IF(B31="","",IFERROR(SUMIF(INDEX(RekapSaldoAwal,0,1),$B31,INDEX(RekapSaldoAwal,0,4)),0))</f>
        <v>0</v>
      </c>
      <c r="F31" s="15">
        <f t="array" aca="1" ref="F31" ca="1">IFERROR(SUMIFS(INDEX(RekapJurnalUnit1,0,4),INDEX(RekapJurnalUnit1,0,1),$A31,INDEX(RekapJurnalUnit1,0,2),$B31),0)</f>
        <v>0</v>
      </c>
      <c r="G31" s="15">
        <f t="array" aca="1" ref="G31" ca="1">IFERROR(SUMIFS(INDEX(RekapJurnalUnit1,0,5),INDEX(RekapJurnalUnit1,0,1),$A31,INDEX(RekapJurnalUnit1,0,2),$B31),0)</f>
        <v>0</v>
      </c>
      <c r="H31" s="15">
        <f t="shared" ca="1" si="0"/>
        <v>0</v>
      </c>
      <c r="I31" s="15">
        <f t="shared" ca="1" si="1"/>
        <v>0</v>
      </c>
      <c r="J31" s="15">
        <f t="array" aca="1" ref="J31" ca="1">IFERROR(SUMIFS(INDEX(RekapPenyesuaianUnit1,0,4),INDEX(RekapPenyesuaianUnit1,0,1),$A31,INDEX(RekapPenyesuaianUnit1,0,2),$B31),0)</f>
        <v>0</v>
      </c>
      <c r="K31" s="15">
        <f t="array" aca="1" ref="K31" ca="1">IFERROR(SUMIFS(INDEX(RekapPenyesuaianUnit1,0,5),INDEX(RekapPenyesuaianUnit1,0,1),$A31,INDEX(RekapPenyesuaianUnit1,0,2),$B31),0)</f>
        <v>0</v>
      </c>
      <c r="L31" s="15">
        <f t="shared" ca="1" si="2"/>
        <v>0</v>
      </c>
      <c r="M31" s="15">
        <f t="shared" ca="1" si="3"/>
        <v>0</v>
      </c>
      <c r="N31" s="15">
        <f t="shared" ca="1" si="7"/>
        <v>0</v>
      </c>
      <c r="O31" s="15">
        <f t="shared" ca="1" si="7"/>
        <v>0</v>
      </c>
      <c r="P31" s="15">
        <f t="shared" ca="1" si="8"/>
        <v>0</v>
      </c>
      <c r="Q31" s="15">
        <f t="shared" ca="1" si="8"/>
        <v>0</v>
      </c>
    </row>
    <row r="32" spans="1:17" x14ac:dyDescent="0.2">
      <c r="A32" s="9" t="str">
        <f t="shared" si="6"/>
        <v>Peternakan Telur Sejahtera</v>
      </c>
      <c r="B32" s="13">
        <f ca="1">IFERROR(__xludf.DUMMYFUNCTION("""COMPUTED_VALUE"""),-175315)</f>
        <v>-175315</v>
      </c>
      <c r="C32" s="14" t="str">
        <f ca="1">IFERROR(__xludf.DUMMYFUNCTION("IF(B32="""","""",IFERROR(INDEX(FILTER(INDEX(SaldoAwal,0,6),(TRIM(TO_TEXT(INDEX(SaldoAwal,0,1)))=TRIM(TO_TEXT(B32)))+(TRIM(TO_TEXT(INDEX(SaldoAwal,0,2)))=TRIM(TO_TEXT(B32)))+(TRIM(TO_TEXT(INDEX(SaldoAwal,0,3)))=TRIM(TO_TEXT(B32)))+(TRIM(TO_TEXT(INDEX(Saldo"&amp;"Awal,0,4)))=TRIM(TO_TEXT(B32)))+(TRIM(TO_TEXT(INDEX(SaldoAwal,0,5)))=TRIM(TO_TEXT(B32)))),1),""CEK NAMA AKUN""))"),"Persediaan Barang Jadi")</f>
        <v>Persediaan Barang Jadi</v>
      </c>
      <c r="D32" s="15">
        <f t="array" aca="1" ref="D32" ca="1">IF(B32="","",IFERROR(SUMIF(INDEX(RekapSaldoAwal,0,1),$B32,INDEX(RekapSaldoAwal,0,3)),0))</f>
        <v>0</v>
      </c>
      <c r="E32" s="15">
        <f t="array" aca="1" ref="E32" ca="1">IF(B32="","",IFERROR(SUMIF(INDEX(RekapSaldoAwal,0,1),$B32,INDEX(RekapSaldoAwal,0,4)),0))</f>
        <v>0</v>
      </c>
      <c r="F32" s="15">
        <f t="array" aca="1" ref="F32" ca="1">IFERROR(SUMIFS(INDEX(RekapJurnalUnit1,0,4),INDEX(RekapJurnalUnit1,0,1),$A32,INDEX(RekapJurnalUnit1,0,2),$B32),0)</f>
        <v>0</v>
      </c>
      <c r="G32" s="15">
        <f t="array" aca="1" ref="G32" ca="1">IFERROR(SUMIFS(INDEX(RekapJurnalUnit1,0,5),INDEX(RekapJurnalUnit1,0,1),$A32,INDEX(RekapJurnalUnit1,0,2),$B32),0)</f>
        <v>0</v>
      </c>
      <c r="H32" s="15">
        <f t="shared" ca="1" si="0"/>
        <v>0</v>
      </c>
      <c r="I32" s="15">
        <f t="shared" ca="1" si="1"/>
        <v>0</v>
      </c>
      <c r="J32" s="15">
        <f t="array" aca="1" ref="J32" ca="1">IFERROR(SUMIFS(INDEX(RekapPenyesuaianUnit1,0,4),INDEX(RekapPenyesuaianUnit1,0,1),$A32,INDEX(RekapPenyesuaianUnit1,0,2),$B32),0)</f>
        <v>0</v>
      </c>
      <c r="K32" s="15">
        <f t="array" aca="1" ref="K32" ca="1">IFERROR(SUMIFS(INDEX(RekapPenyesuaianUnit1,0,5),INDEX(RekapPenyesuaianUnit1,0,1),$A32,INDEX(RekapPenyesuaianUnit1,0,2),$B32),0)</f>
        <v>0</v>
      </c>
      <c r="L32" s="15">
        <f t="shared" ca="1" si="2"/>
        <v>0</v>
      </c>
      <c r="M32" s="15">
        <f t="shared" ca="1" si="3"/>
        <v>0</v>
      </c>
      <c r="N32" s="15">
        <f t="shared" ca="1" si="7"/>
        <v>0</v>
      </c>
      <c r="O32" s="15">
        <f t="shared" ca="1" si="7"/>
        <v>0</v>
      </c>
      <c r="P32" s="15">
        <f t="shared" ca="1" si="8"/>
        <v>0</v>
      </c>
      <c r="Q32" s="15">
        <f t="shared" ca="1" si="8"/>
        <v>0</v>
      </c>
    </row>
    <row r="33" spans="1:17" x14ac:dyDescent="0.2">
      <c r="A33" s="9" t="str">
        <f t="shared" si="6"/>
        <v>Peternakan Telur Sejahtera</v>
      </c>
      <c r="B33" s="13">
        <f ca="1">IFERROR(__xludf.DUMMYFUNCTION("""COMPUTED_VALUE"""),-168010)</f>
        <v>-168010</v>
      </c>
      <c r="C33" s="14" t="str">
        <f ca="1">IFERROR(__xludf.DUMMYFUNCTION("IF(B33="""","""",IFERROR(INDEX(FILTER(INDEX(SaldoAwal,0,6),(TRIM(TO_TEXT(INDEX(SaldoAwal,0,1)))=TRIM(TO_TEXT(B33)))+(TRIM(TO_TEXT(INDEX(SaldoAwal,0,2)))=TRIM(TO_TEXT(B33)))+(TRIM(TO_TEXT(INDEX(SaldoAwal,0,3)))=TRIM(TO_TEXT(B33)))+(TRIM(TO_TEXT(INDEX(Saldo"&amp;"Awal,0,4)))=TRIM(TO_TEXT(B33)))+(TRIM(TO_TEXT(INDEX(SaldoAwal,0,5)))=TRIM(TO_TEXT(B33)))),1),""CEK NAMA AKUN""))"),"Persediaan Lainnya")</f>
        <v>Persediaan Lainnya</v>
      </c>
      <c r="D33" s="15">
        <f t="array" aca="1" ref="D33" ca="1">IF(B33="","",IFERROR(SUMIF(INDEX(RekapSaldoAwal,0,1),$B33,INDEX(RekapSaldoAwal,0,3)),0))</f>
        <v>0</v>
      </c>
      <c r="E33" s="15">
        <f t="array" aca="1" ref="E33" ca="1">IF(B33="","",IFERROR(SUMIF(INDEX(RekapSaldoAwal,0,1),$B33,INDEX(RekapSaldoAwal,0,4)),0))</f>
        <v>0</v>
      </c>
      <c r="F33" s="15">
        <f t="array" aca="1" ref="F33" ca="1">IFERROR(SUMIFS(INDEX(RekapJurnalUnit1,0,4),INDEX(RekapJurnalUnit1,0,1),$A33,INDEX(RekapJurnalUnit1,0,2),$B33),0)</f>
        <v>0</v>
      </c>
      <c r="G33" s="15">
        <f t="array" aca="1" ref="G33" ca="1">IFERROR(SUMIFS(INDEX(RekapJurnalUnit1,0,5),INDEX(RekapJurnalUnit1,0,1),$A33,INDEX(RekapJurnalUnit1,0,2),$B33),0)</f>
        <v>0</v>
      </c>
      <c r="H33" s="15">
        <f t="shared" ca="1" si="0"/>
        <v>0</v>
      </c>
      <c r="I33" s="15">
        <f t="shared" ca="1" si="1"/>
        <v>0</v>
      </c>
      <c r="J33" s="15">
        <f t="array" aca="1" ref="J33" ca="1">IFERROR(SUMIFS(INDEX(RekapPenyesuaianUnit1,0,4),INDEX(RekapPenyesuaianUnit1,0,1),$A33,INDEX(RekapPenyesuaianUnit1,0,2),$B33),0)</f>
        <v>0</v>
      </c>
      <c r="K33" s="15">
        <f t="array" aca="1" ref="K33" ca="1">IFERROR(SUMIFS(INDEX(RekapPenyesuaianUnit1,0,5),INDEX(RekapPenyesuaianUnit1,0,1),$A33,INDEX(RekapPenyesuaianUnit1,0,2),$B33),0)</f>
        <v>0</v>
      </c>
      <c r="L33" s="15">
        <f t="shared" ca="1" si="2"/>
        <v>0</v>
      </c>
      <c r="M33" s="15">
        <f t="shared" ca="1" si="3"/>
        <v>0</v>
      </c>
      <c r="N33" s="15">
        <f t="shared" ca="1" si="7"/>
        <v>0</v>
      </c>
      <c r="O33" s="15">
        <f t="shared" ca="1" si="7"/>
        <v>0</v>
      </c>
      <c r="P33" s="15">
        <f t="shared" ca="1" si="8"/>
        <v>0</v>
      </c>
      <c r="Q33" s="15">
        <f t="shared" ca="1" si="8"/>
        <v>0</v>
      </c>
    </row>
    <row r="34" spans="1:17" x14ac:dyDescent="0.2">
      <c r="A34" s="9" t="str">
        <f t="shared" si="6"/>
        <v>Peternakan Telur Sejahtera</v>
      </c>
      <c r="B34" s="13">
        <f ca="1">IFERROR(__xludf.DUMMYFUNCTION("""COMPUTED_VALUE"""),-146036)</f>
        <v>-146036</v>
      </c>
      <c r="C34" s="14" t="str">
        <f ca="1">IFERROR(__xludf.DUMMYFUNCTION("IF(B34="""","""",IFERROR(INDEX(FILTER(INDEX(SaldoAwal,0,6),(TRIM(TO_TEXT(INDEX(SaldoAwal,0,1)))=TRIM(TO_TEXT(B34)))+(TRIM(TO_TEXT(INDEX(SaldoAwal,0,2)))=TRIM(TO_TEXT(B34)))+(TRIM(TO_TEXT(INDEX(SaldoAwal,0,3)))=TRIM(TO_TEXT(B34)))+(TRIM(TO_TEXT(INDEX(Saldo"&amp;"Awal,0,4)))=TRIM(TO_TEXT(B34)))+(TRIM(TO_TEXT(INDEX(SaldoAwal,0,5)))=TRIM(TO_TEXT(B34)))),1),""CEK NAMA AKUN""))"),"Laba Ditahan")</f>
        <v>Laba Ditahan</v>
      </c>
      <c r="D34" s="15">
        <f t="array" aca="1" ref="D34" ca="1">IF(B34="","",IFERROR(SUMIF(INDEX(RekapSaldoAwal,0,1),$B34,INDEX(RekapSaldoAwal,0,3)),0))</f>
        <v>0</v>
      </c>
      <c r="E34" s="15">
        <f t="array" aca="1" ref="E34" ca="1">IF(B34="","",IFERROR(SUMIF(INDEX(RekapSaldoAwal,0,1),$B34,INDEX(RekapSaldoAwal,0,4)),0))</f>
        <v>200000000</v>
      </c>
      <c r="F34" s="15">
        <f t="array" aca="1" ref="F34" ca="1">IFERROR(SUMIFS(INDEX(RekapJurnalUnit1,0,4),INDEX(RekapJurnalUnit1,0,1),$A34,INDEX(RekapJurnalUnit1,0,2),$B34),0)</f>
        <v>0</v>
      </c>
      <c r="G34" s="15">
        <f t="array" aca="1" ref="G34" ca="1">IFERROR(SUMIFS(INDEX(RekapJurnalUnit1,0,5),INDEX(RekapJurnalUnit1,0,1),$A34,INDEX(RekapJurnalUnit1,0,2),$B34),0)</f>
        <v>0</v>
      </c>
      <c r="H34" s="15">
        <f t="shared" ca="1" si="0"/>
        <v>0</v>
      </c>
      <c r="I34" s="15">
        <f t="shared" ca="1" si="1"/>
        <v>200000000</v>
      </c>
      <c r="J34" s="15">
        <f t="array" aca="1" ref="J34" ca="1">IFERROR(SUMIFS(INDEX(RekapPenyesuaianUnit1,0,4),INDEX(RekapPenyesuaianUnit1,0,1),$A34,INDEX(RekapPenyesuaianUnit1,0,2),$B34),0)</f>
        <v>0</v>
      </c>
      <c r="K34" s="15">
        <f t="array" aca="1" ref="K34" ca="1">IFERROR(SUMIFS(INDEX(RekapPenyesuaianUnit1,0,5),INDEX(RekapPenyesuaianUnit1,0,1),$A34,INDEX(RekapPenyesuaianUnit1,0,2),$B34),0)</f>
        <v>0</v>
      </c>
      <c r="L34" s="15">
        <f t="shared" ca="1" si="2"/>
        <v>0</v>
      </c>
      <c r="M34" s="15">
        <f t="shared" ca="1" si="3"/>
        <v>200000000</v>
      </c>
      <c r="N34" s="15">
        <f t="shared" ca="1" si="7"/>
        <v>0</v>
      </c>
      <c r="O34" s="15">
        <f t="shared" ca="1" si="7"/>
        <v>0</v>
      </c>
      <c r="P34" s="15">
        <f t="shared" ca="1" si="8"/>
        <v>0</v>
      </c>
      <c r="Q34" s="15">
        <f t="shared" ca="1" si="8"/>
        <v>0</v>
      </c>
    </row>
    <row r="35" spans="1:17" x14ac:dyDescent="0.2">
      <c r="A35" s="9" t="str">
        <f t="shared" si="6"/>
        <v>Peternakan Telur Sejahtera</v>
      </c>
      <c r="B35" s="13">
        <f ca="1">IFERROR(__xludf.DUMMYFUNCTION("""COMPUTED_VALUE"""),-146005)</f>
        <v>-146005</v>
      </c>
      <c r="C35" s="14" t="str">
        <f ca="1">IFERROR(__xludf.DUMMYFUNCTION("IF(B35="""","""",IFERROR(INDEX(FILTER(INDEX(SaldoAwal,0,6),(TRIM(TO_TEXT(INDEX(SaldoAwal,0,1)))=TRIM(TO_TEXT(B35)))+(TRIM(TO_TEXT(INDEX(SaldoAwal,0,2)))=TRIM(TO_TEXT(B35)))+(TRIM(TO_TEXT(INDEX(SaldoAwal,0,3)))=TRIM(TO_TEXT(B35)))+(TRIM(TO_TEXT(INDEX(Saldo"&amp;"Awal,0,4)))=TRIM(TO_TEXT(B35)))+(TRIM(TO_TEXT(INDEX(SaldoAwal,0,5)))=TRIM(TO_TEXT(B35)))),1),""CEK NAMA AKUN""))"),"Pendapatan Denda")</f>
        <v>Pendapatan Denda</v>
      </c>
      <c r="D35" s="15">
        <f t="array" aca="1" ref="D35" ca="1">IF(B35="","",IFERROR(SUMIF(INDEX(RekapSaldoAwal,0,1),$B35,INDEX(RekapSaldoAwal,0,3)),0))</f>
        <v>0</v>
      </c>
      <c r="E35" s="15">
        <f t="array" aca="1" ref="E35" ca="1">IF(B35="","",IFERROR(SUMIF(INDEX(RekapSaldoAwal,0,1),$B35,INDEX(RekapSaldoAwal,0,4)),0))</f>
        <v>0</v>
      </c>
      <c r="F35" s="15">
        <f t="array" aca="1" ref="F35" ca="1">IFERROR(SUMIFS(INDEX(RekapJurnalUnit1,0,4),INDEX(RekapJurnalUnit1,0,1),$A35,INDEX(RekapJurnalUnit1,0,2),$B35),0)</f>
        <v>0</v>
      </c>
      <c r="G35" s="15">
        <f t="array" aca="1" ref="G35" ca="1">IFERROR(SUMIFS(INDEX(RekapJurnalUnit1,0,5),INDEX(RekapJurnalUnit1,0,1),$A35,INDEX(RekapJurnalUnit1,0,2),$B35),0)</f>
        <v>0</v>
      </c>
      <c r="H35" s="15">
        <f t="shared" ca="1" si="0"/>
        <v>0</v>
      </c>
      <c r="I35" s="15">
        <f t="shared" ca="1" si="1"/>
        <v>0</v>
      </c>
      <c r="J35" s="15">
        <f t="array" aca="1" ref="J35" ca="1">IFERROR(SUMIFS(INDEX(RekapPenyesuaianUnit1,0,4),INDEX(RekapPenyesuaianUnit1,0,1),$A35,INDEX(RekapPenyesuaianUnit1,0,2),$B35),0)</f>
        <v>0</v>
      </c>
      <c r="K35" s="15">
        <f t="array" aca="1" ref="K35" ca="1">IFERROR(SUMIFS(INDEX(RekapPenyesuaianUnit1,0,5),INDEX(RekapPenyesuaianUnit1,0,1),$A35,INDEX(RekapPenyesuaianUnit1,0,2),$B35),0)</f>
        <v>0</v>
      </c>
      <c r="L35" s="15">
        <f t="shared" ca="1" si="2"/>
        <v>0</v>
      </c>
      <c r="M35" s="15">
        <f t="shared" ca="1" si="3"/>
        <v>0</v>
      </c>
      <c r="N35" s="15">
        <f t="shared" ca="1" si="7"/>
        <v>0</v>
      </c>
      <c r="O35" s="15">
        <f t="shared" ca="1" si="7"/>
        <v>0</v>
      </c>
      <c r="P35" s="15">
        <f t="shared" ca="1" si="8"/>
        <v>0</v>
      </c>
      <c r="Q35" s="15">
        <f t="shared" ca="1" si="8"/>
        <v>0</v>
      </c>
    </row>
    <row r="36" spans="1:17" x14ac:dyDescent="0.2">
      <c r="A36" s="9" t="str">
        <f t="shared" si="6"/>
        <v>Peternakan Telur Sejahtera</v>
      </c>
      <c r="B36" s="13">
        <f ca="1">IFERROR(__xludf.DUMMYFUNCTION("""COMPUTED_VALUE"""),-142443)</f>
        <v>-142443</v>
      </c>
      <c r="C36" s="14" t="str">
        <f ca="1">IFERROR(__xludf.DUMMYFUNCTION("IF(B36="""","""",IFERROR(INDEX(FILTER(INDEX(SaldoAwal,0,6),(TRIM(TO_TEXT(INDEX(SaldoAwal,0,1)))=TRIM(TO_TEXT(B36)))+(TRIM(TO_TEXT(INDEX(SaldoAwal,0,2)))=TRIM(TO_TEXT(B36)))+(TRIM(TO_TEXT(INDEX(SaldoAwal,0,3)))=TRIM(TO_TEXT(B36)))+(TRIM(TO_TEXT(INDEX(Saldo"&amp;"Awal,0,4)))=TRIM(TO_TEXT(B36)))+(TRIM(TO_TEXT(INDEX(SaldoAwal,0,5)))=TRIM(TO_TEXT(B36)))),1),""CEK NAMA AKUN""))"),"Perlengkapan")</f>
        <v>Perlengkapan</v>
      </c>
      <c r="D36" s="15">
        <f t="array" aca="1" ref="D36" ca="1">IF(B36="","",IFERROR(SUMIF(INDEX(RekapSaldoAwal,0,1),$B36,INDEX(RekapSaldoAwal,0,3)),0))</f>
        <v>0</v>
      </c>
      <c r="E36" s="15">
        <f t="array" aca="1" ref="E36" ca="1">IF(B36="","",IFERROR(SUMIF(INDEX(RekapSaldoAwal,0,1),$B36,INDEX(RekapSaldoAwal,0,4)),0))</f>
        <v>0</v>
      </c>
      <c r="F36" s="15">
        <f t="array" aca="1" ref="F36" ca="1">IFERROR(SUMIFS(INDEX(RekapJurnalUnit1,0,4),INDEX(RekapJurnalUnit1,0,1),$A36,INDEX(RekapJurnalUnit1,0,2),$B36),0)</f>
        <v>0</v>
      </c>
      <c r="G36" s="15">
        <f t="array" aca="1" ref="G36" ca="1">IFERROR(SUMIFS(INDEX(RekapJurnalUnit1,0,5),INDEX(RekapJurnalUnit1,0,1),$A36,INDEX(RekapJurnalUnit1,0,2),$B36),0)</f>
        <v>0</v>
      </c>
      <c r="H36" s="15">
        <f t="shared" ca="1" si="0"/>
        <v>0</v>
      </c>
      <c r="I36" s="15">
        <f t="shared" ca="1" si="1"/>
        <v>0</v>
      </c>
      <c r="J36" s="15">
        <f t="array" aca="1" ref="J36" ca="1">IFERROR(SUMIFS(INDEX(RekapPenyesuaianUnit1,0,4),INDEX(RekapPenyesuaianUnit1,0,1),$A36,INDEX(RekapPenyesuaianUnit1,0,2),$B36),0)</f>
        <v>0</v>
      </c>
      <c r="K36" s="15">
        <f t="array" aca="1" ref="K36" ca="1">IFERROR(SUMIFS(INDEX(RekapPenyesuaianUnit1,0,5),INDEX(RekapPenyesuaianUnit1,0,1),$A36,INDEX(RekapPenyesuaianUnit1,0,2),$B36),0)</f>
        <v>0</v>
      </c>
      <c r="L36" s="15">
        <f t="shared" ca="1" si="2"/>
        <v>0</v>
      </c>
      <c r="M36" s="15">
        <f t="shared" ca="1" si="3"/>
        <v>0</v>
      </c>
      <c r="N36" s="15">
        <f t="shared" ca="1" si="7"/>
        <v>0</v>
      </c>
      <c r="O36" s="15">
        <f t="shared" ca="1" si="7"/>
        <v>0</v>
      </c>
      <c r="P36" s="15">
        <f t="shared" ca="1" si="8"/>
        <v>0</v>
      </c>
      <c r="Q36" s="15">
        <f t="shared" ca="1" si="8"/>
        <v>0</v>
      </c>
    </row>
    <row r="37" spans="1:17" x14ac:dyDescent="0.2">
      <c r="A37" s="9" t="str">
        <f t="shared" si="6"/>
        <v>Peternakan Telur Sejahtera</v>
      </c>
      <c r="B37" s="13">
        <f ca="1">IFERROR(__xludf.DUMMYFUNCTION("""COMPUTED_VALUE"""),-138791)</f>
        <v>-138791</v>
      </c>
      <c r="C37" s="14" t="str">
        <f ca="1">IFERROR(__xludf.DUMMYFUNCTION("IF(B37="""","""",IFERROR(INDEX(FILTER(INDEX(SaldoAwal,0,6),(TRIM(TO_TEXT(INDEX(SaldoAwal,0,1)))=TRIM(TO_TEXT(B37)))+(TRIM(TO_TEXT(INDEX(SaldoAwal,0,2)))=TRIM(TO_TEXT(B37)))+(TRIM(TO_TEXT(INDEX(SaldoAwal,0,3)))=TRIM(TO_TEXT(B37)))+(TRIM(TO_TEXT(INDEX(Saldo"&amp;"Awal,0,4)))=TRIM(TO_TEXT(B37)))+(TRIM(TO_TEXT(INDEX(SaldoAwal,0,5)))=TRIM(TO_TEXT(B37)))),1),""CEK NAMA AKUN""))"),"Biaya Dibayar di Muka")</f>
        <v>Biaya Dibayar di Muka</v>
      </c>
      <c r="D37" s="15">
        <f t="array" aca="1" ref="D37" ca="1">IF(B37="","",IFERROR(SUMIF(INDEX(RekapSaldoAwal,0,1),$B37,INDEX(RekapSaldoAwal,0,3)),0))</f>
        <v>0</v>
      </c>
      <c r="E37" s="15">
        <f t="array" aca="1" ref="E37" ca="1">IF(B37="","",IFERROR(SUMIF(INDEX(RekapSaldoAwal,0,1),$B37,INDEX(RekapSaldoAwal,0,4)),0))</f>
        <v>0</v>
      </c>
      <c r="F37" s="15">
        <f t="array" aca="1" ref="F37" ca="1">IFERROR(SUMIFS(INDEX(RekapJurnalUnit1,0,4),INDEX(RekapJurnalUnit1,0,1),$A37,INDEX(RekapJurnalUnit1,0,2),$B37),0)</f>
        <v>0</v>
      </c>
      <c r="G37" s="15">
        <f t="array" aca="1" ref="G37" ca="1">IFERROR(SUMIFS(INDEX(RekapJurnalUnit1,0,5),INDEX(RekapJurnalUnit1,0,1),$A37,INDEX(RekapJurnalUnit1,0,2),$B37),0)</f>
        <v>0</v>
      </c>
      <c r="H37" s="15">
        <f t="shared" ca="1" si="0"/>
        <v>0</v>
      </c>
      <c r="I37" s="15">
        <f t="shared" ca="1" si="1"/>
        <v>0</v>
      </c>
      <c r="J37" s="15">
        <f t="array" aca="1" ref="J37" ca="1">IFERROR(SUMIFS(INDEX(RekapPenyesuaianUnit1,0,4),INDEX(RekapPenyesuaianUnit1,0,1),$A37,INDEX(RekapPenyesuaianUnit1,0,2),$B37),0)</f>
        <v>0</v>
      </c>
      <c r="K37" s="15">
        <f t="array" aca="1" ref="K37" ca="1">IFERROR(SUMIFS(INDEX(RekapPenyesuaianUnit1,0,5),INDEX(RekapPenyesuaianUnit1,0,1),$A37,INDEX(RekapPenyesuaianUnit1,0,2),$B37),0)</f>
        <v>0</v>
      </c>
      <c r="L37" s="15">
        <f t="shared" ca="1" si="2"/>
        <v>0</v>
      </c>
      <c r="M37" s="15">
        <f t="shared" ca="1" si="3"/>
        <v>0</v>
      </c>
      <c r="N37" s="15">
        <f t="shared" ca="1" si="7"/>
        <v>0</v>
      </c>
      <c r="O37" s="15">
        <f t="shared" ca="1" si="7"/>
        <v>0</v>
      </c>
      <c r="P37" s="15">
        <f t="shared" ca="1" si="8"/>
        <v>0</v>
      </c>
      <c r="Q37" s="15">
        <f t="shared" ca="1" si="8"/>
        <v>0</v>
      </c>
    </row>
    <row r="38" spans="1:17" x14ac:dyDescent="0.2">
      <c r="A38" s="9" t="str">
        <f t="shared" si="6"/>
        <v>Peternakan Telur Sejahtera</v>
      </c>
      <c r="B38" s="13">
        <f ca="1">IFERROR(__xludf.DUMMYFUNCTION("""COMPUTED_VALUE"""),-135138)</f>
        <v>-135138</v>
      </c>
      <c r="C38" s="14" t="str">
        <f ca="1">IFERROR(__xludf.DUMMYFUNCTION("IF(B38="""","""",IFERROR(INDEX(FILTER(INDEX(SaldoAwal,0,6),(TRIM(TO_TEXT(INDEX(SaldoAwal,0,1)))=TRIM(TO_TEXT(B38)))+(TRIM(TO_TEXT(INDEX(SaldoAwal,0,2)))=TRIM(TO_TEXT(B38)))+(TRIM(TO_TEXT(INDEX(SaldoAwal,0,3)))=TRIM(TO_TEXT(B38)))+(TRIM(TO_TEXT(INDEX(Saldo"&amp;"Awal,0,4)))=TRIM(TO_TEXT(B38)))+(TRIM(TO_TEXT(INDEX(SaldoAwal,0,5)))=TRIM(TO_TEXT(B38)))),1),""CEK NAMA AKUN""))"),"Aset Lancar Lainnya")</f>
        <v>Aset Lancar Lainnya</v>
      </c>
      <c r="D38" s="15">
        <f t="array" aca="1" ref="D38" ca="1">IF(B38="","",IFERROR(SUMIF(INDEX(RekapSaldoAwal,0,1),$B38,INDEX(RekapSaldoAwal,0,3)),0))</f>
        <v>0</v>
      </c>
      <c r="E38" s="15">
        <f t="array" aca="1" ref="E38" ca="1">IF(B38="","",IFERROR(SUMIF(INDEX(RekapSaldoAwal,0,1),$B38,INDEX(RekapSaldoAwal,0,4)),0))</f>
        <v>0</v>
      </c>
      <c r="F38" s="15">
        <f t="array" aca="1" ref="F38" ca="1">IFERROR(SUMIFS(INDEX(RekapJurnalUnit1,0,4),INDEX(RekapJurnalUnit1,0,1),$A38,INDEX(RekapJurnalUnit1,0,2),$B38),0)</f>
        <v>0</v>
      </c>
      <c r="G38" s="15">
        <f t="array" aca="1" ref="G38" ca="1">IFERROR(SUMIFS(INDEX(RekapJurnalUnit1,0,5),INDEX(RekapJurnalUnit1,0,1),$A38,INDEX(RekapJurnalUnit1,0,2),$B38),0)</f>
        <v>0</v>
      </c>
      <c r="H38" s="15">
        <f t="shared" ca="1" si="0"/>
        <v>0</v>
      </c>
      <c r="I38" s="15">
        <f t="shared" ca="1" si="1"/>
        <v>0</v>
      </c>
      <c r="J38" s="15">
        <f t="array" aca="1" ref="J38" ca="1">IFERROR(SUMIFS(INDEX(RekapPenyesuaianUnit1,0,4),INDEX(RekapPenyesuaianUnit1,0,1),$A38,INDEX(RekapPenyesuaianUnit1,0,2),$B38),0)</f>
        <v>0</v>
      </c>
      <c r="K38" s="15">
        <f t="array" aca="1" ref="K38" ca="1">IFERROR(SUMIFS(INDEX(RekapPenyesuaianUnit1,0,5),INDEX(RekapPenyesuaianUnit1,0,1),$A38,INDEX(RekapPenyesuaianUnit1,0,2),$B38),0)</f>
        <v>0</v>
      </c>
      <c r="L38" s="15">
        <f t="shared" ca="1" si="2"/>
        <v>0</v>
      </c>
      <c r="M38" s="15">
        <f t="shared" ca="1" si="3"/>
        <v>0</v>
      </c>
      <c r="N38" s="15">
        <f t="shared" ca="1" si="7"/>
        <v>0</v>
      </c>
      <c r="O38" s="15">
        <f t="shared" ca="1" si="7"/>
        <v>0</v>
      </c>
      <c r="P38" s="15">
        <f t="shared" ca="1" si="8"/>
        <v>0</v>
      </c>
      <c r="Q38" s="15">
        <f t="shared" ca="1" si="8"/>
        <v>0</v>
      </c>
    </row>
    <row r="39" spans="1:17" x14ac:dyDescent="0.2">
      <c r="A39" s="9" t="str">
        <f t="shared" si="6"/>
        <v>Peternakan Telur Sejahtera</v>
      </c>
      <c r="B39" s="13">
        <f ca="1">IFERROR(__xludf.DUMMYFUNCTION("""COMPUTED_VALUE"""),-109511)</f>
        <v>-109511</v>
      </c>
      <c r="C39" s="14" t="str">
        <f ca="1">IFERROR(__xludf.DUMMYFUNCTION("IF(B39="""","""",IFERROR(INDEX(FILTER(INDEX(SaldoAwal,0,6),(TRIM(TO_TEXT(INDEX(SaldoAwal,0,1)))=TRIM(TO_TEXT(B39)))+(TRIM(TO_TEXT(INDEX(SaldoAwal,0,2)))=TRIM(TO_TEXT(B39)))+(TRIM(TO_TEXT(INDEX(SaldoAwal,0,3)))=TRIM(TO_TEXT(B39)))+(TRIM(TO_TEXT(INDEX(Saldo"&amp;"Awal,0,4)))=TRIM(TO_TEXT(B39)))+(TRIM(TO_TEXT(INDEX(SaldoAwal,0,5)))=TRIM(TO_TEXT(B39)))),1),""CEK NAMA AKUN""))"),"Laba/Rugi Tahun Berjalan")</f>
        <v>Laba/Rugi Tahun Berjalan</v>
      </c>
      <c r="D39" s="15">
        <f t="array" aca="1" ref="D39" ca="1">IF(B39="","",IFERROR(SUMIF(INDEX(RekapSaldoAwal,0,1),$B39,INDEX(RekapSaldoAwal,0,3)),0))</f>
        <v>0</v>
      </c>
      <c r="E39" s="15">
        <f t="array" aca="1" ref="E39" ca="1">IF(B39="","",IFERROR(SUMIF(INDEX(RekapSaldoAwal,0,1),$B39,INDEX(RekapSaldoAwal,0,4)),0))</f>
        <v>0</v>
      </c>
      <c r="F39" s="15">
        <f t="array" aca="1" ref="F39" ca="1">IFERROR(SUMIFS(INDEX(RekapJurnalUnit1,0,4),INDEX(RekapJurnalUnit1,0,1),$A39,INDEX(RekapJurnalUnit1,0,2),$B39),0)</f>
        <v>0</v>
      </c>
      <c r="G39" s="15">
        <f t="array" aca="1" ref="G39" ca="1">IFERROR(SUMIFS(INDEX(RekapJurnalUnit1,0,5),INDEX(RekapJurnalUnit1,0,1),$A39,INDEX(RekapJurnalUnit1,0,2),$B39),0)</f>
        <v>0</v>
      </c>
      <c r="H39" s="15">
        <f t="shared" ca="1" si="0"/>
        <v>0</v>
      </c>
      <c r="I39" s="15">
        <f t="shared" ca="1" si="1"/>
        <v>0</v>
      </c>
      <c r="J39" s="15">
        <f t="array" aca="1" ref="J39" ca="1">IFERROR(SUMIFS(INDEX(RekapPenyesuaianUnit1,0,4),INDEX(RekapPenyesuaianUnit1,0,1),$A39,INDEX(RekapPenyesuaianUnit1,0,2),$B39),0)</f>
        <v>0</v>
      </c>
      <c r="K39" s="15">
        <f t="array" aca="1" ref="K39" ca="1">IFERROR(SUMIFS(INDEX(RekapPenyesuaianUnit1,0,5),INDEX(RekapPenyesuaianUnit1,0,1),$A39,INDEX(RekapPenyesuaianUnit1,0,2),$B39),0)</f>
        <v>0</v>
      </c>
      <c r="L39" s="15">
        <f t="shared" ca="1" si="2"/>
        <v>0</v>
      </c>
      <c r="M39" s="15">
        <f t="shared" ca="1" si="3"/>
        <v>0</v>
      </c>
      <c r="N39" s="15">
        <f t="shared" ref="N39:O54" ca="1" si="9">IF(OR(LEFT($B39,1)="4",LEFT($B39,1)="5"),L39,0)</f>
        <v>0</v>
      </c>
      <c r="O39" s="15">
        <f t="shared" ca="1" si="9"/>
        <v>0</v>
      </c>
      <c r="P39" s="15">
        <f t="shared" ref="P39:Q54" ca="1" si="10">IF(OR(LEFT($B39,1)="1",LEFT($B39,1)="2",LEFT($B39,1)="3"),L39,0)</f>
        <v>0</v>
      </c>
      <c r="Q39" s="15">
        <f t="shared" ca="1" si="10"/>
        <v>0</v>
      </c>
    </row>
    <row r="40" spans="1:17" x14ac:dyDescent="0.2">
      <c r="A40" s="9" t="str">
        <f t="shared" si="6"/>
        <v>Peternakan Telur Sejahtera</v>
      </c>
      <c r="B40" s="13">
        <f ca="1">IFERROR(__xludf.DUMMYFUNCTION("""COMPUTED_VALUE"""),-109480)</f>
        <v>-109480</v>
      </c>
      <c r="C40" s="14" t="str">
        <f ca="1">IFERROR(__xludf.DUMMYFUNCTION("IF(B40="""","""",IFERROR(INDEX(FILTER(INDEX(SaldoAwal,0,6),(TRIM(TO_TEXT(INDEX(SaldoAwal,0,1)))=TRIM(TO_TEXT(B40)))+(TRIM(TO_TEXT(INDEX(SaldoAwal,0,2)))=TRIM(TO_TEXT(B40)))+(TRIM(TO_TEXT(INDEX(SaldoAwal,0,3)))=TRIM(TO_TEXT(B40)))+(TRIM(TO_TEXT(INDEX(Saldo"&amp;"Awal,0,4)))=TRIM(TO_TEXT(B40)))+(TRIM(TO_TEXT(INDEX(SaldoAwal,0,5)))=TRIM(TO_TEXT(B40)))),1),""CEK NAMA AKUN""))"),"Pendapatan Operasional Lainnya")</f>
        <v>Pendapatan Operasional Lainnya</v>
      </c>
      <c r="D40" s="15">
        <f t="array" aca="1" ref="D40" ca="1">IF(B40="","",IFERROR(SUMIF(INDEX(RekapSaldoAwal,0,1),$B40,INDEX(RekapSaldoAwal,0,3)),0))</f>
        <v>0</v>
      </c>
      <c r="E40" s="15">
        <f t="array" aca="1" ref="E40" ca="1">IF(B40="","",IFERROR(SUMIF(INDEX(RekapSaldoAwal,0,1),$B40,INDEX(RekapSaldoAwal,0,4)),0))</f>
        <v>0</v>
      </c>
      <c r="F40" s="15">
        <f t="array" aca="1" ref="F40" ca="1">IFERROR(SUMIFS(INDEX(RekapJurnalUnit1,0,4),INDEX(RekapJurnalUnit1,0,1),$A40,INDEX(RekapJurnalUnit1,0,2),$B40),0)</f>
        <v>0</v>
      </c>
      <c r="G40" s="15">
        <f t="array" aca="1" ref="G40" ca="1">IFERROR(SUMIFS(INDEX(RekapJurnalUnit1,0,5),INDEX(RekapJurnalUnit1,0,1),$A40,INDEX(RekapJurnalUnit1,0,2),$B40),0)</f>
        <v>0</v>
      </c>
      <c r="H40" s="15">
        <f t="shared" ca="1" si="0"/>
        <v>0</v>
      </c>
      <c r="I40" s="15">
        <f t="shared" ca="1" si="1"/>
        <v>0</v>
      </c>
      <c r="J40" s="15">
        <f t="array" aca="1" ref="J40" ca="1">IFERROR(SUMIFS(INDEX(RekapPenyesuaianUnit1,0,4),INDEX(RekapPenyesuaianUnit1,0,1),$A40,INDEX(RekapPenyesuaianUnit1,0,2),$B40),0)</f>
        <v>0</v>
      </c>
      <c r="K40" s="15">
        <f t="array" aca="1" ref="K40" ca="1">IFERROR(SUMIFS(INDEX(RekapPenyesuaianUnit1,0,5),INDEX(RekapPenyesuaianUnit1,0,1),$A40,INDEX(RekapPenyesuaianUnit1,0,2),$B40),0)</f>
        <v>0</v>
      </c>
      <c r="L40" s="15">
        <f t="shared" ca="1" si="2"/>
        <v>0</v>
      </c>
      <c r="M40" s="15">
        <f t="shared" ca="1" si="3"/>
        <v>0</v>
      </c>
      <c r="N40" s="15">
        <f t="shared" ca="1" si="9"/>
        <v>0</v>
      </c>
      <c r="O40" s="15">
        <f t="shared" ca="1" si="9"/>
        <v>0</v>
      </c>
      <c r="P40" s="15">
        <f t="shared" ca="1" si="10"/>
        <v>0</v>
      </c>
      <c r="Q40" s="15">
        <f t="shared" ca="1" si="10"/>
        <v>0</v>
      </c>
    </row>
    <row r="41" spans="1:17" x14ac:dyDescent="0.2">
      <c r="A41" s="9" t="str">
        <f t="shared" si="6"/>
        <v>Peternakan Telur Sejahtera</v>
      </c>
      <c r="B41" s="13">
        <f ca="1">IFERROR(__xludf.DUMMYFUNCTION("""COMPUTED_VALUE"""),-72987)</f>
        <v>-72987</v>
      </c>
      <c r="C41" s="14" t="str">
        <f ca="1">IFERROR(__xludf.DUMMYFUNCTION("IF(B41="""","""",IFERROR(INDEX(FILTER(INDEX(SaldoAwal,0,6),(TRIM(TO_TEXT(INDEX(SaldoAwal,0,1)))=TRIM(TO_TEXT(B41)))+(TRIM(TO_TEXT(INDEX(SaldoAwal,0,2)))=TRIM(TO_TEXT(B41)))+(TRIM(TO_TEXT(INDEX(SaldoAwal,0,3)))=TRIM(TO_TEXT(B41)))+(TRIM(TO_TEXT(INDEX(Saldo"&amp;"Awal,0,4)))=TRIM(TO_TEXT(B41)))+(TRIM(TO_TEXT(INDEX(SaldoAwal,0,5)))=TRIM(TO_TEXT(B41)))),1),""CEK NAMA AKUN""))"),"Bagi Hasil untuk Desa")</f>
        <v>Bagi Hasil untuk Desa</v>
      </c>
      <c r="D41" s="15">
        <f t="array" aca="1" ref="D41" ca="1">IF(B41="","",IFERROR(SUMIF(INDEX(RekapSaldoAwal,0,1),$B41,INDEX(RekapSaldoAwal,0,3)),0))</f>
        <v>0</v>
      </c>
      <c r="E41" s="15">
        <f t="array" aca="1" ref="E41" ca="1">IF(B41="","",IFERROR(SUMIF(INDEX(RekapSaldoAwal,0,1),$B41,INDEX(RekapSaldoAwal,0,4)),0))</f>
        <v>0</v>
      </c>
      <c r="F41" s="15">
        <f t="array" aca="1" ref="F41" ca="1">IFERROR(SUMIFS(INDEX(RekapJurnalUnit1,0,4),INDEX(RekapJurnalUnit1,0,1),$A41,INDEX(RekapJurnalUnit1,0,2),$B41),0)</f>
        <v>0</v>
      </c>
      <c r="G41" s="15">
        <f t="array" aca="1" ref="G41" ca="1">IFERROR(SUMIFS(INDEX(RekapJurnalUnit1,0,5),INDEX(RekapJurnalUnit1,0,1),$A41,INDEX(RekapJurnalUnit1,0,2),$B41),0)</f>
        <v>0</v>
      </c>
      <c r="H41" s="15">
        <f t="shared" ca="1" si="0"/>
        <v>0</v>
      </c>
      <c r="I41" s="15">
        <f t="shared" ca="1" si="1"/>
        <v>0</v>
      </c>
      <c r="J41" s="15">
        <f t="array" aca="1" ref="J41" ca="1">IFERROR(SUMIFS(INDEX(RekapPenyesuaianUnit1,0,4),INDEX(RekapPenyesuaianUnit1,0,1),$A41,INDEX(RekapPenyesuaianUnit1,0,2),$B41),0)</f>
        <v>0</v>
      </c>
      <c r="K41" s="15">
        <f t="array" aca="1" ref="K41" ca="1">IFERROR(SUMIFS(INDEX(RekapPenyesuaianUnit1,0,5),INDEX(RekapPenyesuaianUnit1,0,1),$A41,INDEX(RekapPenyesuaianUnit1,0,2),$B41),0)</f>
        <v>0</v>
      </c>
      <c r="L41" s="15">
        <f t="shared" ca="1" si="2"/>
        <v>0</v>
      </c>
      <c r="M41" s="15">
        <f t="shared" ca="1" si="3"/>
        <v>0</v>
      </c>
      <c r="N41" s="15">
        <f t="shared" ca="1" si="9"/>
        <v>0</v>
      </c>
      <c r="O41" s="15">
        <f t="shared" ca="1" si="9"/>
        <v>0</v>
      </c>
      <c r="P41" s="15">
        <f t="shared" ca="1" si="10"/>
        <v>0</v>
      </c>
      <c r="Q41" s="15">
        <f t="shared" ca="1" si="10"/>
        <v>0</v>
      </c>
    </row>
    <row r="42" spans="1:17" x14ac:dyDescent="0.2">
      <c r="A42" s="9" t="str">
        <f t="shared" si="6"/>
        <v>Peternakan Telur Sejahtera</v>
      </c>
      <c r="B42" s="13">
        <f ca="1">IFERROR(__xludf.DUMMYFUNCTION("""COMPUTED_VALUE"""),-36463)</f>
        <v>-36463</v>
      </c>
      <c r="C42" s="14" t="str">
        <f ca="1">IFERROR(__xludf.DUMMYFUNCTION("IF(B42="""","""",IFERROR(INDEX(FILTER(INDEX(SaldoAwal,0,6),(TRIM(TO_TEXT(INDEX(SaldoAwal,0,1)))=TRIM(TO_TEXT(B42)))+(TRIM(TO_TEXT(INDEX(SaldoAwal,0,2)))=TRIM(TO_TEXT(B42)))+(TRIM(TO_TEXT(INDEX(SaldoAwal,0,3)))=TRIM(TO_TEXT(B42)))+(TRIM(TO_TEXT(INDEX(Saldo"&amp;"Awal,0,4)))=TRIM(TO_TEXT(B42)))+(TRIM(TO_TEXT(INDEX(SaldoAwal,0,5)))=TRIM(TO_TEXT(B42)))),1),""CEK NAMA AKUN""))"),"Bagi Hasil untuk Masyarakat")</f>
        <v>Bagi Hasil untuk Masyarakat</v>
      </c>
      <c r="D42" s="15">
        <f t="array" aca="1" ref="D42" ca="1">IF(B42="","",IFERROR(SUMIF(INDEX(RekapSaldoAwal,0,1),$B42,INDEX(RekapSaldoAwal,0,3)),0))</f>
        <v>0</v>
      </c>
      <c r="E42" s="15">
        <f t="array" aca="1" ref="E42" ca="1">IF(B42="","",IFERROR(SUMIF(INDEX(RekapSaldoAwal,0,1),$B42,INDEX(RekapSaldoAwal,0,4)),0))</f>
        <v>0</v>
      </c>
      <c r="F42" s="15">
        <f t="array" aca="1" ref="F42" ca="1">IFERROR(SUMIFS(INDEX(RekapJurnalUnit1,0,4),INDEX(RekapJurnalUnit1,0,1),$A42,INDEX(RekapJurnalUnit1,0,2),$B42),0)</f>
        <v>0</v>
      </c>
      <c r="G42" s="15">
        <f t="array" aca="1" ref="G42" ca="1">IFERROR(SUMIFS(INDEX(RekapJurnalUnit1,0,5),INDEX(RekapJurnalUnit1,0,1),$A42,INDEX(RekapJurnalUnit1,0,2),$B42),0)</f>
        <v>0</v>
      </c>
      <c r="H42" s="15">
        <f t="shared" ca="1" si="0"/>
        <v>0</v>
      </c>
      <c r="I42" s="15">
        <f t="shared" ca="1" si="1"/>
        <v>0</v>
      </c>
      <c r="J42" s="15">
        <f t="array" aca="1" ref="J42" ca="1">IFERROR(SUMIFS(INDEX(RekapPenyesuaianUnit1,0,4),INDEX(RekapPenyesuaianUnit1,0,1),$A42,INDEX(RekapPenyesuaianUnit1,0,2),$B42),0)</f>
        <v>0</v>
      </c>
      <c r="K42" s="15">
        <f t="array" aca="1" ref="K42" ca="1">IFERROR(SUMIFS(INDEX(RekapPenyesuaianUnit1,0,5),INDEX(RekapPenyesuaianUnit1,0,1),$A42,INDEX(RekapPenyesuaianUnit1,0,2),$B42),0)</f>
        <v>0</v>
      </c>
      <c r="L42" s="15">
        <f t="shared" ca="1" si="2"/>
        <v>0</v>
      </c>
      <c r="M42" s="15">
        <f t="shared" ca="1" si="3"/>
        <v>0</v>
      </c>
      <c r="N42" s="15">
        <f t="shared" ca="1" si="9"/>
        <v>0</v>
      </c>
      <c r="O42" s="15">
        <f t="shared" ca="1" si="9"/>
        <v>0</v>
      </c>
      <c r="P42" s="15">
        <f t="shared" ca="1" si="10"/>
        <v>0</v>
      </c>
      <c r="Q42" s="15">
        <f t="shared" ca="1" si="10"/>
        <v>0</v>
      </c>
    </row>
    <row r="43" spans="1:17" x14ac:dyDescent="0.2">
      <c r="A43" s="9" t="str">
        <f t="shared" si="6"/>
        <v>Peternakan Telur Sejahtera</v>
      </c>
      <c r="B43" s="13">
        <f ca="1">IFERROR(__xludf.DUMMYFUNCTION("""COMPUTED_VALUE"""),61)</f>
        <v>61</v>
      </c>
      <c r="C43" s="14" t="str">
        <f ca="1">IFERROR(__xludf.DUMMYFUNCTION("IF(B43="""","""",IFERROR(INDEX(FILTER(INDEX(SaldoAwal,0,6),(TRIM(TO_TEXT(INDEX(SaldoAwal,0,1)))=TRIM(TO_TEXT(B43)))+(TRIM(TO_TEXT(INDEX(SaldoAwal,0,2)))=TRIM(TO_TEXT(B43)))+(TRIM(TO_TEXT(INDEX(SaldoAwal,0,3)))=TRIM(TO_TEXT(B43)))+(TRIM(TO_TEXT(INDEX(Saldo"&amp;"Awal,0,4)))=TRIM(TO_TEXT(B43)))+(TRIM(TO_TEXT(INDEX(SaldoAwal,0,5)))=TRIM(TO_TEXT(B43)))),1),""CEK NAMA AKUN""))"),"Ekuitas Lainnya")</f>
        <v>Ekuitas Lainnya</v>
      </c>
      <c r="D43" s="15">
        <f t="array" aca="1" ref="D43" ca="1">IF(B43="","",IFERROR(SUMIF(INDEX(RekapSaldoAwal,0,1),$B43,INDEX(RekapSaldoAwal,0,3)),0))</f>
        <v>0</v>
      </c>
      <c r="E43" s="15">
        <f t="array" aca="1" ref="E43" ca="1">IF(B43="","",IFERROR(SUMIF(INDEX(RekapSaldoAwal,0,1),$B43,INDEX(RekapSaldoAwal,0,4)),0))</f>
        <v>0</v>
      </c>
      <c r="F43" s="15">
        <f t="array" aca="1" ref="F43" ca="1">IFERROR(SUMIFS(INDEX(RekapJurnalUnit1,0,4),INDEX(RekapJurnalUnit1,0,1),$A43,INDEX(RekapJurnalUnit1,0,2),$B43),0)</f>
        <v>0</v>
      </c>
      <c r="G43" s="15">
        <f t="array" aca="1" ref="G43" ca="1">IFERROR(SUMIFS(INDEX(RekapJurnalUnit1,0,5),INDEX(RekapJurnalUnit1,0,1),$A43,INDEX(RekapJurnalUnit1,0,2),$B43),0)</f>
        <v>0</v>
      </c>
      <c r="H43" s="15">
        <f t="shared" ca="1" si="0"/>
        <v>0</v>
      </c>
      <c r="I43" s="15">
        <f t="shared" ca="1" si="1"/>
        <v>0</v>
      </c>
      <c r="J43" s="15">
        <f t="array" aca="1" ref="J43" ca="1">IFERROR(SUMIFS(INDEX(RekapPenyesuaianUnit1,0,4),INDEX(RekapPenyesuaianUnit1,0,1),$A43,INDEX(RekapPenyesuaianUnit1,0,2),$B43),0)</f>
        <v>0</v>
      </c>
      <c r="K43" s="15">
        <f t="array" aca="1" ref="K43" ca="1">IFERROR(SUMIFS(INDEX(RekapPenyesuaianUnit1,0,5),INDEX(RekapPenyesuaianUnit1,0,1),$A43,INDEX(RekapPenyesuaianUnit1,0,2),$B43),0)</f>
        <v>0</v>
      </c>
      <c r="L43" s="15">
        <f t="shared" ca="1" si="2"/>
        <v>0</v>
      </c>
      <c r="M43" s="15">
        <f t="shared" ca="1" si="3"/>
        <v>0</v>
      </c>
      <c r="N43" s="15">
        <f t="shared" ca="1" si="9"/>
        <v>0</v>
      </c>
      <c r="O43" s="15">
        <f t="shared" ca="1" si="9"/>
        <v>0</v>
      </c>
      <c r="P43" s="15">
        <f t="shared" ca="1" si="10"/>
        <v>0</v>
      </c>
      <c r="Q43" s="15">
        <f t="shared" ca="1" si="10"/>
        <v>0</v>
      </c>
    </row>
    <row r="44" spans="1:17" x14ac:dyDescent="0.2">
      <c r="A44" s="9" t="str">
        <f t="shared" si="6"/>
        <v>Peternakan Telur Sejahtera</v>
      </c>
      <c r="B44" s="13">
        <f ca="1">IFERROR(__xludf.DUMMYFUNCTION("""COMPUTED_VALUE"""),40179)</f>
        <v>40179</v>
      </c>
      <c r="C44" s="14" t="str">
        <f ca="1">IFERROR(__xludf.DUMMYFUNCTION("IF(B44="""","""",IFERROR(INDEX(FILTER(INDEX(SaldoAwal,0,6),(TRIM(TO_TEXT(INDEX(SaldoAwal,0,1)))=TRIM(TO_TEXT(B44)))+(TRIM(TO_TEXT(INDEX(SaldoAwal,0,2)))=TRIM(TO_TEXT(B44)))+(TRIM(TO_TEXT(INDEX(SaldoAwal,0,3)))=TRIM(TO_TEXT(B44)))+(TRIM(TO_TEXT(INDEX(Saldo"&amp;"Awal,0,4)))=TRIM(TO_TEXT(B44)))+(TRIM(TO_TEXT(INDEX(SaldoAwal,0,5)))=TRIM(TO_TEXT(B44)))),1),""CEK NAMA AKUN""))"),"Tanah")</f>
        <v>Tanah</v>
      </c>
      <c r="D44" s="15">
        <f t="array" aca="1" ref="D44" ca="1">IF(B44="","",IFERROR(SUMIF(INDEX(RekapSaldoAwal,0,1),$B44,INDEX(RekapSaldoAwal,0,3)),0))</f>
        <v>0</v>
      </c>
      <c r="E44" s="15">
        <f t="array" aca="1" ref="E44" ca="1">IF(B44="","",IFERROR(SUMIF(INDEX(RekapSaldoAwal,0,1),$B44,INDEX(RekapSaldoAwal,0,4)),0))</f>
        <v>0</v>
      </c>
      <c r="F44" s="15">
        <f t="array" aca="1" ref="F44" ca="1">IFERROR(SUMIFS(INDEX(RekapJurnalUnit1,0,4),INDEX(RekapJurnalUnit1,0,1),$A44,INDEX(RekapJurnalUnit1,0,2),$B44),0)</f>
        <v>0</v>
      </c>
      <c r="G44" s="15">
        <f t="array" aca="1" ref="G44" ca="1">IFERROR(SUMIFS(INDEX(RekapJurnalUnit1,0,5),INDEX(RekapJurnalUnit1,0,1),$A44,INDEX(RekapJurnalUnit1,0,2),$B44),0)</f>
        <v>0</v>
      </c>
      <c r="H44" s="15">
        <f t="shared" ca="1" si="0"/>
        <v>0</v>
      </c>
      <c r="I44" s="15">
        <f t="shared" ca="1" si="1"/>
        <v>0</v>
      </c>
      <c r="J44" s="15">
        <f t="array" aca="1" ref="J44" ca="1">IFERROR(SUMIFS(INDEX(RekapPenyesuaianUnit1,0,4),INDEX(RekapPenyesuaianUnit1,0,1),$A44,INDEX(RekapPenyesuaianUnit1,0,2),$B44),0)</f>
        <v>0</v>
      </c>
      <c r="K44" s="15">
        <f t="array" aca="1" ref="K44" ca="1">IFERROR(SUMIFS(INDEX(RekapPenyesuaianUnit1,0,5),INDEX(RekapPenyesuaianUnit1,0,1),$A44,INDEX(RekapPenyesuaianUnit1,0,2),$B44),0)</f>
        <v>0</v>
      </c>
      <c r="L44" s="15">
        <f t="shared" ca="1" si="2"/>
        <v>0</v>
      </c>
      <c r="M44" s="15">
        <f t="shared" ca="1" si="3"/>
        <v>0</v>
      </c>
      <c r="N44" s="15">
        <f t="shared" ca="1" si="9"/>
        <v>0</v>
      </c>
      <c r="O44" s="15">
        <f t="shared" ca="1" si="9"/>
        <v>0</v>
      </c>
      <c r="P44" s="15">
        <f t="shared" ca="1" si="10"/>
        <v>0</v>
      </c>
      <c r="Q44" s="15">
        <f t="shared" ca="1" si="10"/>
        <v>0</v>
      </c>
    </row>
    <row r="45" spans="1:17" x14ac:dyDescent="0.2">
      <c r="A45" s="9" t="str">
        <f t="shared" si="6"/>
        <v>Peternakan Telur Sejahtera</v>
      </c>
      <c r="B45" s="13">
        <f ca="1">IFERROR(__xludf.DUMMYFUNCTION("""COMPUTED_VALUE"""),43831)</f>
        <v>43831</v>
      </c>
      <c r="C45" s="14" t="str">
        <f ca="1">IFERROR(__xludf.DUMMYFUNCTION("IF(B45="""","""",IFERROR(INDEX(FILTER(INDEX(SaldoAwal,0,6),(TRIM(TO_TEXT(INDEX(SaldoAwal,0,1)))=TRIM(TO_TEXT(B45)))+(TRIM(TO_TEXT(INDEX(SaldoAwal,0,2)))=TRIM(TO_TEXT(B45)))+(TRIM(TO_TEXT(INDEX(SaldoAwal,0,3)))=TRIM(TO_TEXT(B45)))+(TRIM(TO_TEXT(INDEX(Saldo"&amp;"Awal,0,4)))=TRIM(TO_TEXT(B45)))+(TRIM(TO_TEXT(INDEX(SaldoAwal,0,5)))=TRIM(TO_TEXT(B45)))),1),""CEK NAMA AKUN""))"),"Bangunan")</f>
        <v>Bangunan</v>
      </c>
      <c r="D45" s="15">
        <f t="array" aca="1" ref="D45" ca="1">IF(B45="","",IFERROR(SUMIF(INDEX(RekapSaldoAwal,0,1),$B45,INDEX(RekapSaldoAwal,0,3)),0))</f>
        <v>0</v>
      </c>
      <c r="E45" s="15">
        <f t="array" aca="1" ref="E45" ca="1">IF(B45="","",IFERROR(SUMIF(INDEX(RekapSaldoAwal,0,1),$B45,INDEX(RekapSaldoAwal,0,4)),0))</f>
        <v>0</v>
      </c>
      <c r="F45" s="15">
        <f t="array" aca="1" ref="F45" ca="1">IFERROR(SUMIFS(INDEX(RekapJurnalUnit1,0,4),INDEX(RekapJurnalUnit1,0,1),$A45,INDEX(RekapJurnalUnit1,0,2),$B45),0)</f>
        <v>25000000</v>
      </c>
      <c r="G45" s="15">
        <f t="array" aca="1" ref="G45" ca="1">IFERROR(SUMIFS(INDEX(RekapJurnalUnit1,0,5),INDEX(RekapJurnalUnit1,0,1),$A45,INDEX(RekapJurnalUnit1,0,2),$B45),0)</f>
        <v>54000000</v>
      </c>
      <c r="H45" s="15">
        <f t="shared" ca="1" si="0"/>
        <v>0</v>
      </c>
      <c r="I45" s="15">
        <f t="shared" ca="1" si="1"/>
        <v>29000000</v>
      </c>
      <c r="J45" s="15">
        <f t="array" aca="1" ref="J45" ca="1">IFERROR(SUMIFS(INDEX(RekapPenyesuaianUnit1,0,4),INDEX(RekapPenyesuaianUnit1,0,1),$A45,INDEX(RekapPenyesuaianUnit1,0,2),$B45),0)</f>
        <v>0</v>
      </c>
      <c r="K45" s="15">
        <f t="array" aca="1" ref="K45" ca="1">IFERROR(SUMIFS(INDEX(RekapPenyesuaianUnit1,0,5),INDEX(RekapPenyesuaianUnit1,0,1),$A45,INDEX(RekapPenyesuaianUnit1,0,2),$B45),0)</f>
        <v>0</v>
      </c>
      <c r="L45" s="15">
        <f t="shared" ca="1" si="2"/>
        <v>0</v>
      </c>
      <c r="M45" s="15">
        <f t="shared" ca="1" si="3"/>
        <v>29000000</v>
      </c>
      <c r="N45" s="15">
        <f t="shared" ca="1" si="9"/>
        <v>0</v>
      </c>
      <c r="O45" s="15">
        <f t="shared" ca="1" si="9"/>
        <v>29000000</v>
      </c>
      <c r="P45" s="15">
        <f t="shared" ca="1" si="10"/>
        <v>0</v>
      </c>
      <c r="Q45" s="15">
        <f t="shared" ca="1" si="10"/>
        <v>0</v>
      </c>
    </row>
    <row r="46" spans="1:17" x14ac:dyDescent="0.2">
      <c r="A46" s="9" t="str">
        <f t="shared" si="6"/>
        <v>Peternakan Telur Sejahtera</v>
      </c>
      <c r="B46" s="13">
        <f ca="1">IFERROR(__xludf.DUMMYFUNCTION("""COMPUTED_VALUE"""),47484)</f>
        <v>47484</v>
      </c>
      <c r="C46" s="14" t="str">
        <f ca="1">IFERROR(__xludf.DUMMYFUNCTION("IF(B46="""","""",IFERROR(INDEX(FILTER(INDEX(SaldoAwal,0,6),(TRIM(TO_TEXT(INDEX(SaldoAwal,0,1)))=TRIM(TO_TEXT(B46)))+(TRIM(TO_TEXT(INDEX(SaldoAwal,0,2)))=TRIM(TO_TEXT(B46)))+(TRIM(TO_TEXT(INDEX(SaldoAwal,0,3)))=TRIM(TO_TEXT(B46)))+(TRIM(TO_TEXT(INDEX(Saldo"&amp;"Awal,0,4)))=TRIM(TO_TEXT(B46)))+(TRIM(TO_TEXT(INDEX(SaldoAwal,0,5)))=TRIM(TO_TEXT(B46)))),1),""CEK NAMA AKUN""))"),"Kendaraan")</f>
        <v>Kendaraan</v>
      </c>
      <c r="D46" s="15">
        <f t="array" aca="1" ref="D46" ca="1">IF(B46="","",IFERROR(SUMIF(INDEX(RekapSaldoAwal,0,1),$B46,INDEX(RekapSaldoAwal,0,3)),0))</f>
        <v>0</v>
      </c>
      <c r="E46" s="15">
        <f t="array" aca="1" ref="E46" ca="1">IF(B46="","",IFERROR(SUMIF(INDEX(RekapSaldoAwal,0,1),$B46,INDEX(RekapSaldoAwal,0,4)),0))</f>
        <v>0</v>
      </c>
      <c r="F46" s="15">
        <f t="array" aca="1" ref="F46" ca="1">IFERROR(SUMIFS(INDEX(RekapJurnalUnit1,0,4),INDEX(RekapJurnalUnit1,0,1),$A46,INDEX(RekapJurnalUnit1,0,2),$B46),0)</f>
        <v>0</v>
      </c>
      <c r="G46" s="15">
        <f t="array" aca="1" ref="G46" ca="1">IFERROR(SUMIFS(INDEX(RekapJurnalUnit1,0,5),INDEX(RekapJurnalUnit1,0,1),$A46,INDEX(RekapJurnalUnit1,0,2),$B46),0)</f>
        <v>0</v>
      </c>
      <c r="H46" s="15">
        <f t="shared" ca="1" si="0"/>
        <v>0</v>
      </c>
      <c r="I46" s="15">
        <f t="shared" ca="1" si="1"/>
        <v>0</v>
      </c>
      <c r="J46" s="15">
        <f t="array" aca="1" ref="J46" ca="1">IFERROR(SUMIFS(INDEX(RekapPenyesuaianUnit1,0,4),INDEX(RekapPenyesuaianUnit1,0,1),$A46,INDEX(RekapPenyesuaianUnit1,0,2),$B46),0)</f>
        <v>0</v>
      </c>
      <c r="K46" s="15">
        <f t="array" aca="1" ref="K46" ca="1">IFERROR(SUMIFS(INDEX(RekapPenyesuaianUnit1,0,5),INDEX(RekapPenyesuaianUnit1,0,1),$A46,INDEX(RekapPenyesuaianUnit1,0,2),$B46),0)</f>
        <v>0</v>
      </c>
      <c r="L46" s="15">
        <f t="shared" ca="1" si="2"/>
        <v>0</v>
      </c>
      <c r="M46" s="15">
        <f t="shared" ca="1" si="3"/>
        <v>0</v>
      </c>
      <c r="N46" s="15">
        <f t="shared" ca="1" si="9"/>
        <v>0</v>
      </c>
      <c r="O46" s="15">
        <f t="shared" ca="1" si="9"/>
        <v>0</v>
      </c>
      <c r="P46" s="15">
        <f t="shared" ca="1" si="10"/>
        <v>0</v>
      </c>
      <c r="Q46" s="15">
        <f t="shared" ca="1" si="10"/>
        <v>0</v>
      </c>
    </row>
    <row r="47" spans="1:17" x14ac:dyDescent="0.2">
      <c r="A47" s="9" t="str">
        <f t="shared" si="6"/>
        <v>Peternakan Telur Sejahtera</v>
      </c>
      <c r="B47" s="13">
        <f ca="1">IFERROR(__xludf.DUMMYFUNCTION("""COMPUTED_VALUE"""),51136)</f>
        <v>51136</v>
      </c>
      <c r="C47" s="14" t="str">
        <f ca="1">IFERROR(__xludf.DUMMYFUNCTION("IF(B47="""","""",IFERROR(INDEX(FILTER(INDEX(SaldoAwal,0,6),(TRIM(TO_TEXT(INDEX(SaldoAwal,0,1)))=TRIM(TO_TEXT(B47)))+(TRIM(TO_TEXT(INDEX(SaldoAwal,0,2)))=TRIM(TO_TEXT(B47)))+(TRIM(TO_TEXT(INDEX(SaldoAwal,0,3)))=TRIM(TO_TEXT(B47)))+(TRIM(TO_TEXT(INDEX(Saldo"&amp;"Awal,0,4)))=TRIM(TO_TEXT(B47)))+(TRIM(TO_TEXT(INDEX(SaldoAwal,0,5)))=TRIM(TO_TEXT(B47)))),1),""CEK NAMA AKUN""))"),"Peralatan dan Mesin")</f>
        <v>Peralatan dan Mesin</v>
      </c>
      <c r="D47" s="15">
        <f t="array" aca="1" ref="D47" ca="1">IF(B47="","",IFERROR(SUMIF(INDEX(RekapSaldoAwal,0,1),$B47,INDEX(RekapSaldoAwal,0,3)),0))</f>
        <v>0</v>
      </c>
      <c r="E47" s="15">
        <f t="array" aca="1" ref="E47" ca="1">IF(B47="","",IFERROR(SUMIF(INDEX(RekapSaldoAwal,0,1),$B47,INDEX(RekapSaldoAwal,0,4)),0))</f>
        <v>0</v>
      </c>
      <c r="F47" s="15">
        <f t="array" aca="1" ref="F47" ca="1">IFERROR(SUMIFS(INDEX(RekapJurnalUnit1,0,4),INDEX(RekapJurnalUnit1,0,1),$A47,INDEX(RekapJurnalUnit1,0,2),$B47),0)</f>
        <v>7500000</v>
      </c>
      <c r="G47" s="15">
        <f t="array" aca="1" ref="G47" ca="1">IFERROR(SUMIFS(INDEX(RekapJurnalUnit1,0,5),INDEX(RekapJurnalUnit1,0,1),$A47,INDEX(RekapJurnalUnit1,0,2),$B47),0)</f>
        <v>0</v>
      </c>
      <c r="H47" s="15">
        <f t="shared" ca="1" si="0"/>
        <v>7500000</v>
      </c>
      <c r="I47" s="15">
        <f t="shared" ca="1" si="1"/>
        <v>0</v>
      </c>
      <c r="J47" s="15">
        <f t="array" aca="1" ref="J47" ca="1">IFERROR(SUMIFS(INDEX(RekapPenyesuaianUnit1,0,4),INDEX(RekapPenyesuaianUnit1,0,1),$A47,INDEX(RekapPenyesuaianUnit1,0,2),$B47),0)</f>
        <v>0</v>
      </c>
      <c r="K47" s="15">
        <f t="array" aca="1" ref="K47" ca="1">IFERROR(SUMIFS(INDEX(RekapPenyesuaianUnit1,0,5),INDEX(RekapPenyesuaianUnit1,0,1),$A47,INDEX(RekapPenyesuaianUnit1,0,2),$B47),0)</f>
        <v>0</v>
      </c>
      <c r="L47" s="15">
        <f t="shared" ca="1" si="2"/>
        <v>7500000</v>
      </c>
      <c r="M47" s="15">
        <f t="shared" ca="1" si="3"/>
        <v>0</v>
      </c>
      <c r="N47" s="15">
        <f t="shared" ca="1" si="9"/>
        <v>7500000</v>
      </c>
      <c r="O47" s="15">
        <f t="shared" ca="1" si="9"/>
        <v>0</v>
      </c>
      <c r="P47" s="15">
        <f t="shared" ca="1" si="10"/>
        <v>0</v>
      </c>
      <c r="Q47" s="15">
        <f t="shared" ca="1" si="10"/>
        <v>0</v>
      </c>
    </row>
    <row r="48" spans="1:17" x14ac:dyDescent="0.2">
      <c r="A48" s="9" t="str">
        <f t="shared" si="6"/>
        <v>Peternakan Telur Sejahtera</v>
      </c>
      <c r="B48" s="13">
        <f ca="1">IFERROR(__xludf.DUMMYFUNCTION("""COMPUTED_VALUE"""),54789)</f>
        <v>54789</v>
      </c>
      <c r="C48" s="14" t="str">
        <f ca="1">IFERROR(__xludf.DUMMYFUNCTION("IF(B48="""","""",IFERROR(INDEX(FILTER(INDEX(SaldoAwal,0,6),(TRIM(TO_TEXT(INDEX(SaldoAwal,0,1)))=TRIM(TO_TEXT(B48)))+(TRIM(TO_TEXT(INDEX(SaldoAwal,0,2)))=TRIM(TO_TEXT(B48)))+(TRIM(TO_TEXT(INDEX(SaldoAwal,0,3)))=TRIM(TO_TEXT(B48)))+(TRIM(TO_TEXT(INDEX(Saldo"&amp;"Awal,0,4)))=TRIM(TO_TEXT(B48)))+(TRIM(TO_TEXT(INDEX(SaldoAwal,0,5)))=TRIM(TO_TEXT(B48)))),1),""CEK NAMA AKUN""))"),"Meubelair/Inventaris")</f>
        <v>Meubelair/Inventaris</v>
      </c>
      <c r="D48" s="15">
        <f t="array" aca="1" ref="D48" ca="1">IF(B48="","",IFERROR(SUMIF(INDEX(RekapSaldoAwal,0,1),$B48,INDEX(RekapSaldoAwal,0,3)),0))</f>
        <v>0</v>
      </c>
      <c r="E48" s="15">
        <f t="array" aca="1" ref="E48" ca="1">IF(B48="","",IFERROR(SUMIF(INDEX(RekapSaldoAwal,0,1),$B48,INDEX(RekapSaldoAwal,0,4)),0))</f>
        <v>0</v>
      </c>
      <c r="F48" s="15">
        <f t="array" aca="1" ref="F48" ca="1">IFERROR(SUMIFS(INDEX(RekapJurnalUnit1,0,4),INDEX(RekapJurnalUnit1,0,1),$A48,INDEX(RekapJurnalUnit1,0,2),$B48),0)</f>
        <v>0</v>
      </c>
      <c r="G48" s="15">
        <f t="array" aca="1" ref="G48" ca="1">IFERROR(SUMIFS(INDEX(RekapJurnalUnit1,0,5),INDEX(RekapJurnalUnit1,0,1),$A48,INDEX(RekapJurnalUnit1,0,2),$B48),0)</f>
        <v>0</v>
      </c>
      <c r="H48" s="15">
        <f t="shared" ca="1" si="0"/>
        <v>0</v>
      </c>
      <c r="I48" s="15">
        <f t="shared" ca="1" si="1"/>
        <v>0</v>
      </c>
      <c r="J48" s="15">
        <f t="array" aca="1" ref="J48" ca="1">IFERROR(SUMIFS(INDEX(RekapPenyesuaianUnit1,0,4),INDEX(RekapPenyesuaianUnit1,0,1),$A48,INDEX(RekapPenyesuaianUnit1,0,2),$B48),0)</f>
        <v>0</v>
      </c>
      <c r="K48" s="15">
        <f t="array" aca="1" ref="K48" ca="1">IFERROR(SUMIFS(INDEX(RekapPenyesuaianUnit1,0,5),INDEX(RekapPenyesuaianUnit1,0,1),$A48,INDEX(RekapPenyesuaianUnit1,0,2),$B48),0)</f>
        <v>0</v>
      </c>
      <c r="L48" s="15">
        <f t="shared" ca="1" si="2"/>
        <v>0</v>
      </c>
      <c r="M48" s="15">
        <f t="shared" ca="1" si="3"/>
        <v>0</v>
      </c>
      <c r="N48" s="15">
        <f t="shared" ca="1" si="9"/>
        <v>0</v>
      </c>
      <c r="O48" s="15">
        <f t="shared" ca="1" si="9"/>
        <v>0</v>
      </c>
      <c r="P48" s="15">
        <f t="shared" ca="1" si="10"/>
        <v>0</v>
      </c>
      <c r="Q48" s="15">
        <f t="shared" ca="1" si="10"/>
        <v>0</v>
      </c>
    </row>
    <row r="49" spans="1:17" x14ac:dyDescent="0.2">
      <c r="A49" s="9" t="str">
        <f t="shared" si="6"/>
        <v>Peternakan Telur Sejahtera</v>
      </c>
      <c r="B49" s="13">
        <f ca="1">IFERROR(__xludf.DUMMYFUNCTION("""COMPUTED_VALUE"""),58441)</f>
        <v>58441</v>
      </c>
      <c r="C49" s="14" t="str">
        <f ca="1">IFERROR(__xludf.DUMMYFUNCTION("IF(B49="""","""",IFERROR(INDEX(FILTER(INDEX(SaldoAwal,0,6),(TRIM(TO_TEXT(INDEX(SaldoAwal,0,1)))=TRIM(TO_TEXT(B49)))+(TRIM(TO_TEXT(INDEX(SaldoAwal,0,2)))=TRIM(TO_TEXT(B49)))+(TRIM(TO_TEXT(INDEX(SaldoAwal,0,3)))=TRIM(TO_TEXT(B49)))+(TRIM(TO_TEXT(INDEX(Saldo"&amp;"Awal,0,4)))=TRIM(TO_TEXT(B49)))+(TRIM(TO_TEXT(INDEX(SaldoAwal,0,5)))=TRIM(TO_TEXT(B49)))),1),""CEK NAMA AKUN""))"),"Aset Tetap Lainnya")</f>
        <v>Aset Tetap Lainnya</v>
      </c>
      <c r="D49" s="15">
        <f t="array" aca="1" ref="D49" ca="1">IF(B49="","",IFERROR(SUMIF(INDEX(RekapSaldoAwal,0,1),$B49,INDEX(RekapSaldoAwal,0,3)),0))</f>
        <v>0</v>
      </c>
      <c r="E49" s="15">
        <f t="array" aca="1" ref="E49" ca="1">IF(B49="","",IFERROR(SUMIF(INDEX(RekapSaldoAwal,0,1),$B49,INDEX(RekapSaldoAwal,0,4)),0))</f>
        <v>0</v>
      </c>
      <c r="F49" s="15">
        <f t="array" aca="1" ref="F49" ca="1">IFERROR(SUMIFS(INDEX(RekapJurnalUnit1,0,4),INDEX(RekapJurnalUnit1,0,1),$A49,INDEX(RekapJurnalUnit1,0,2),$B49),0)</f>
        <v>0</v>
      </c>
      <c r="G49" s="15">
        <f t="array" aca="1" ref="G49" ca="1">IFERROR(SUMIFS(INDEX(RekapJurnalUnit1,0,5),INDEX(RekapJurnalUnit1,0,1),$A49,INDEX(RekapJurnalUnit1,0,2),$B49),0)</f>
        <v>0</v>
      </c>
      <c r="H49" s="15">
        <f t="shared" ca="1" si="0"/>
        <v>0</v>
      </c>
      <c r="I49" s="15">
        <f t="shared" ca="1" si="1"/>
        <v>0</v>
      </c>
      <c r="J49" s="15">
        <f t="array" aca="1" ref="J49" ca="1">IFERROR(SUMIFS(INDEX(RekapPenyesuaianUnit1,0,4),INDEX(RekapPenyesuaianUnit1,0,1),$A49,INDEX(RekapPenyesuaianUnit1,0,2),$B49),0)</f>
        <v>0</v>
      </c>
      <c r="K49" s="15">
        <f t="array" aca="1" ref="K49" ca="1">IFERROR(SUMIFS(INDEX(RekapPenyesuaianUnit1,0,5),INDEX(RekapPenyesuaianUnit1,0,1),$A49,INDEX(RekapPenyesuaianUnit1,0,2),$B49),0)</f>
        <v>0</v>
      </c>
      <c r="L49" s="15">
        <f t="shared" ca="1" si="2"/>
        <v>0</v>
      </c>
      <c r="M49" s="15">
        <f t="shared" ca="1" si="3"/>
        <v>0</v>
      </c>
      <c r="N49" s="15">
        <f t="shared" ca="1" si="9"/>
        <v>0</v>
      </c>
      <c r="O49" s="15">
        <f t="shared" ca="1" si="9"/>
        <v>0</v>
      </c>
      <c r="P49" s="15">
        <f t="shared" ca="1" si="10"/>
        <v>0</v>
      </c>
      <c r="Q49" s="15">
        <f t="shared" ca="1" si="10"/>
        <v>0</v>
      </c>
    </row>
    <row r="50" spans="1:17" x14ac:dyDescent="0.2">
      <c r="A50" s="9" t="str">
        <f t="shared" si="6"/>
        <v>Peternakan Telur Sejahtera</v>
      </c>
      <c r="B50" s="13">
        <f ca="1">IFERROR(__xludf.DUMMYFUNCTION("""COMPUTED_VALUE"""),69764)</f>
        <v>69764</v>
      </c>
      <c r="C50" s="14" t="str">
        <f ca="1">IFERROR(__xludf.DUMMYFUNCTION("IF(B50="""","""",IFERROR(INDEX(FILTER(INDEX(SaldoAwal,0,6),(TRIM(TO_TEXT(INDEX(SaldoAwal,0,1)))=TRIM(TO_TEXT(B50)))+(TRIM(TO_TEXT(INDEX(SaldoAwal,0,2)))=TRIM(TO_TEXT(B50)))+(TRIM(TO_TEXT(INDEX(SaldoAwal,0,3)))=TRIM(TO_TEXT(B50)))+(TRIM(TO_TEXT(INDEX(Saldo"&amp;"Awal,0,4)))=TRIM(TO_TEXT(B50)))+(TRIM(TO_TEXT(INDEX(SaldoAwal,0,5)))=TRIM(TO_TEXT(B50)))),1),""CEK NAMA AKUN""))"),"Akumulasi Penyusutan Bangunan")</f>
        <v>Akumulasi Penyusutan Bangunan</v>
      </c>
      <c r="D50" s="15">
        <f t="array" aca="1" ref="D50" ca="1">IF(B50="","",IFERROR(SUMIF(INDEX(RekapSaldoAwal,0,1),$B50,INDEX(RekapSaldoAwal,0,3)),0))</f>
        <v>0</v>
      </c>
      <c r="E50" s="15">
        <f t="array" aca="1" ref="E50" ca="1">IF(B50="","",IFERROR(SUMIF(INDEX(RekapSaldoAwal,0,1),$B50,INDEX(RekapSaldoAwal,0,4)),0))</f>
        <v>0</v>
      </c>
      <c r="F50" s="15">
        <f t="array" aca="1" ref="F50" ca="1">IFERROR(SUMIFS(INDEX(RekapJurnalUnit1,0,4),INDEX(RekapJurnalUnit1,0,1),$A50,INDEX(RekapJurnalUnit1,0,2),$B50),0)</f>
        <v>2925000</v>
      </c>
      <c r="G50" s="15">
        <f t="array" aca="1" ref="G50" ca="1">IFERROR(SUMIFS(INDEX(RekapJurnalUnit1,0,5),INDEX(RekapJurnalUnit1,0,1),$A50,INDEX(RekapJurnalUnit1,0,2),$B50),0)</f>
        <v>0</v>
      </c>
      <c r="H50" s="15">
        <f t="shared" ca="1" si="0"/>
        <v>2925000</v>
      </c>
      <c r="I50" s="15">
        <f t="shared" ca="1" si="1"/>
        <v>0</v>
      </c>
      <c r="J50" s="15">
        <f t="array" aca="1" ref="J50" ca="1">IFERROR(SUMIFS(INDEX(RekapPenyesuaianUnit1,0,4),INDEX(RekapPenyesuaianUnit1,0,1),$A50,INDEX(RekapPenyesuaianUnit1,0,2),$B50),0)</f>
        <v>0</v>
      </c>
      <c r="K50" s="15">
        <f t="array" aca="1" ref="K50" ca="1">IFERROR(SUMIFS(INDEX(RekapPenyesuaianUnit1,0,5),INDEX(RekapPenyesuaianUnit1,0,1),$A50,INDEX(RekapPenyesuaianUnit1,0,2),$B50),0)</f>
        <v>208333</v>
      </c>
      <c r="L50" s="15">
        <f t="shared" ca="1" si="2"/>
        <v>2716667</v>
      </c>
      <c r="M50" s="15">
        <f t="shared" ca="1" si="3"/>
        <v>0</v>
      </c>
      <c r="N50" s="15">
        <f t="shared" ca="1" si="9"/>
        <v>0</v>
      </c>
      <c r="O50" s="15">
        <f t="shared" ca="1" si="9"/>
        <v>0</v>
      </c>
      <c r="P50" s="15">
        <f t="shared" ca="1" si="10"/>
        <v>0</v>
      </c>
      <c r="Q50" s="15">
        <f t="shared" ca="1" si="10"/>
        <v>0</v>
      </c>
    </row>
    <row r="51" spans="1:17" x14ac:dyDescent="0.2">
      <c r="A51" s="9" t="str">
        <f t="shared" si="6"/>
        <v>Peternakan Telur Sejahtera</v>
      </c>
      <c r="B51" s="13">
        <f ca="1">IFERROR(__xludf.DUMMYFUNCTION("""COMPUTED_VALUE"""),70129)</f>
        <v>70129</v>
      </c>
      <c r="C51" s="14" t="str">
        <f ca="1">IFERROR(__xludf.DUMMYFUNCTION("IF(B51="""","""",IFERROR(INDEX(FILTER(INDEX(SaldoAwal,0,6),(TRIM(TO_TEXT(INDEX(SaldoAwal,0,1)))=TRIM(TO_TEXT(B51)))+(TRIM(TO_TEXT(INDEX(SaldoAwal,0,2)))=TRIM(TO_TEXT(B51)))+(TRIM(TO_TEXT(INDEX(SaldoAwal,0,3)))=TRIM(TO_TEXT(B51)))+(TRIM(TO_TEXT(INDEX(Saldo"&amp;"Awal,0,4)))=TRIM(TO_TEXT(B51)))+(TRIM(TO_TEXT(INDEX(SaldoAwal,0,5)))=TRIM(TO_TEXT(B51)))),1),""CEK NAMA AKUN""))"),"Akumulasi Penyusutan Kendaraan")</f>
        <v>Akumulasi Penyusutan Kendaraan</v>
      </c>
      <c r="D51" s="15">
        <f t="array" aca="1" ref="D51" ca="1">IF(B51="","",IFERROR(SUMIF(INDEX(RekapSaldoAwal,0,1),$B51,INDEX(RekapSaldoAwal,0,3)),0))</f>
        <v>0</v>
      </c>
      <c r="E51" s="15">
        <f t="array" aca="1" ref="E51" ca="1">IF(B51="","",IFERROR(SUMIF(INDEX(RekapSaldoAwal,0,1),$B51,INDEX(RekapSaldoAwal,0,4)),0))</f>
        <v>0</v>
      </c>
      <c r="F51" s="15">
        <f t="array" aca="1" ref="F51" ca="1">IFERROR(SUMIFS(INDEX(RekapJurnalUnit1,0,4),INDEX(RekapJurnalUnit1,0,1),$A51,INDEX(RekapJurnalUnit1,0,2),$B51),0)</f>
        <v>0</v>
      </c>
      <c r="G51" s="15">
        <f t="array" aca="1" ref="G51" ca="1">IFERROR(SUMIFS(INDEX(RekapJurnalUnit1,0,5),INDEX(RekapJurnalUnit1,0,1),$A51,INDEX(RekapJurnalUnit1,0,2),$B51),0)</f>
        <v>0</v>
      </c>
      <c r="H51" s="15">
        <f t="shared" ca="1" si="0"/>
        <v>0</v>
      </c>
      <c r="I51" s="15">
        <f t="shared" ca="1" si="1"/>
        <v>0</v>
      </c>
      <c r="J51" s="15">
        <f t="array" aca="1" ref="J51" ca="1">IFERROR(SUMIFS(INDEX(RekapPenyesuaianUnit1,0,4),INDEX(RekapPenyesuaianUnit1,0,1),$A51,INDEX(RekapPenyesuaianUnit1,0,2),$B51),0)</f>
        <v>0</v>
      </c>
      <c r="K51" s="15">
        <f t="array" aca="1" ref="K51" ca="1">IFERROR(SUMIFS(INDEX(RekapPenyesuaianUnit1,0,5),INDEX(RekapPenyesuaianUnit1,0,1),$A51,INDEX(RekapPenyesuaianUnit1,0,2),$B51),0)</f>
        <v>0</v>
      </c>
      <c r="L51" s="15">
        <f t="shared" ca="1" si="2"/>
        <v>0</v>
      </c>
      <c r="M51" s="15">
        <f t="shared" ca="1" si="3"/>
        <v>0</v>
      </c>
      <c r="N51" s="15">
        <f t="shared" ca="1" si="9"/>
        <v>0</v>
      </c>
      <c r="O51" s="15">
        <f t="shared" ca="1" si="9"/>
        <v>0</v>
      </c>
      <c r="P51" s="15">
        <f t="shared" ca="1" si="10"/>
        <v>0</v>
      </c>
      <c r="Q51" s="15">
        <f t="shared" ca="1" si="10"/>
        <v>0</v>
      </c>
    </row>
    <row r="52" spans="1:17" x14ac:dyDescent="0.2">
      <c r="A52" s="9" t="str">
        <f t="shared" si="6"/>
        <v>Peternakan Telur Sejahtera</v>
      </c>
      <c r="B52" s="13">
        <f ca="1">IFERROR(__xludf.DUMMYFUNCTION("""COMPUTED_VALUE"""),70495)</f>
        <v>70495</v>
      </c>
      <c r="C52" s="14" t="str">
        <f ca="1">IFERROR(__xludf.DUMMYFUNCTION("IF(B52="""","""",IFERROR(INDEX(FILTER(INDEX(SaldoAwal,0,6),(TRIM(TO_TEXT(INDEX(SaldoAwal,0,1)))=TRIM(TO_TEXT(B52)))+(TRIM(TO_TEXT(INDEX(SaldoAwal,0,2)))=TRIM(TO_TEXT(B52)))+(TRIM(TO_TEXT(INDEX(SaldoAwal,0,3)))=TRIM(TO_TEXT(B52)))+(TRIM(TO_TEXT(INDEX(Saldo"&amp;"Awal,0,4)))=TRIM(TO_TEXT(B52)))+(TRIM(TO_TEXT(INDEX(SaldoAwal,0,5)))=TRIM(TO_TEXT(B52)))),1),""CEK NAMA AKUN""))"),"Akumulasi Penyusutan Peralatan dan Mesin")</f>
        <v>Akumulasi Penyusutan Peralatan dan Mesin</v>
      </c>
      <c r="D52" s="15">
        <f t="array" aca="1" ref="D52" ca="1">IF(B52="","",IFERROR(SUMIF(INDEX(RekapSaldoAwal,0,1),$B52,INDEX(RekapSaldoAwal,0,3)),0))</f>
        <v>0</v>
      </c>
      <c r="E52" s="15">
        <f t="array" aca="1" ref="E52" ca="1">IF(B52="","",IFERROR(SUMIF(INDEX(RekapSaldoAwal,0,1),$B52,INDEX(RekapSaldoAwal,0,4)),0))</f>
        <v>0</v>
      </c>
      <c r="F52" s="15">
        <f t="array" aca="1" ref="F52" ca="1">IFERROR(SUMIFS(INDEX(RekapJurnalUnit1,0,4),INDEX(RekapJurnalUnit1,0,1),$A52,INDEX(RekapJurnalUnit1,0,2),$B52),0)</f>
        <v>0</v>
      </c>
      <c r="G52" s="15">
        <f t="array" aca="1" ref="G52" ca="1">IFERROR(SUMIFS(INDEX(RekapJurnalUnit1,0,5),INDEX(RekapJurnalUnit1,0,1),$A52,INDEX(RekapJurnalUnit1,0,2),$B52),0)</f>
        <v>0</v>
      </c>
      <c r="H52" s="15">
        <f t="shared" ca="1" si="0"/>
        <v>0</v>
      </c>
      <c r="I52" s="15">
        <f t="shared" ca="1" si="1"/>
        <v>0</v>
      </c>
      <c r="J52" s="15">
        <f t="array" aca="1" ref="J52" ca="1">IFERROR(SUMIFS(INDEX(RekapPenyesuaianUnit1,0,4),INDEX(RekapPenyesuaianUnit1,0,1),$A52,INDEX(RekapPenyesuaianUnit1,0,2),$B52),0)</f>
        <v>0</v>
      </c>
      <c r="K52" s="15">
        <f t="array" aca="1" ref="K52" ca="1">IFERROR(SUMIFS(INDEX(RekapPenyesuaianUnit1,0,5),INDEX(RekapPenyesuaianUnit1,0,1),$A52,INDEX(RekapPenyesuaianUnit1,0,2),$B52),0)</f>
        <v>302083</v>
      </c>
      <c r="L52" s="15">
        <f t="shared" ca="1" si="2"/>
        <v>0</v>
      </c>
      <c r="M52" s="15">
        <f t="shared" ca="1" si="3"/>
        <v>302083</v>
      </c>
      <c r="N52" s="15">
        <f t="shared" ca="1" si="9"/>
        <v>0</v>
      </c>
      <c r="O52" s="15">
        <f t="shared" ca="1" si="9"/>
        <v>0</v>
      </c>
      <c r="P52" s="15">
        <f t="shared" ca="1" si="10"/>
        <v>0</v>
      </c>
      <c r="Q52" s="15">
        <f t="shared" ca="1" si="10"/>
        <v>0</v>
      </c>
    </row>
    <row r="53" spans="1:17" x14ac:dyDescent="0.2">
      <c r="A53" s="9" t="str">
        <f t="shared" si="6"/>
        <v>Peternakan Telur Sejahtera</v>
      </c>
      <c r="B53" s="13">
        <f ca="1">IFERROR(__xludf.DUMMYFUNCTION("""COMPUTED_VALUE"""),70860)</f>
        <v>70860</v>
      </c>
      <c r="C53" s="14" t="str">
        <f ca="1">IFERROR(__xludf.DUMMYFUNCTION("IF(B53="""","""",IFERROR(INDEX(FILTER(INDEX(SaldoAwal,0,6),(TRIM(TO_TEXT(INDEX(SaldoAwal,0,1)))=TRIM(TO_TEXT(B53)))+(TRIM(TO_TEXT(INDEX(SaldoAwal,0,2)))=TRIM(TO_TEXT(B53)))+(TRIM(TO_TEXT(INDEX(SaldoAwal,0,3)))=TRIM(TO_TEXT(B53)))+(TRIM(TO_TEXT(INDEX(Saldo"&amp;"Awal,0,4)))=TRIM(TO_TEXT(B53)))+(TRIM(TO_TEXT(INDEX(SaldoAwal,0,5)))=TRIM(TO_TEXT(B53)))),1),""CEK NAMA AKUN""))"),"Akumulasi Penyusutan Meubelair/Inventaris")</f>
        <v>Akumulasi Penyusutan Meubelair/Inventaris</v>
      </c>
      <c r="D53" s="15">
        <f t="array" aca="1" ref="D53" ca="1">IF(B53="","",IFERROR(SUMIF(INDEX(RekapSaldoAwal,0,1),$B53,INDEX(RekapSaldoAwal,0,3)),0))</f>
        <v>0</v>
      </c>
      <c r="E53" s="15">
        <f t="array" aca="1" ref="E53" ca="1">IF(B53="","",IFERROR(SUMIF(INDEX(RekapSaldoAwal,0,1),$B53,INDEX(RekapSaldoAwal,0,4)),0))</f>
        <v>0</v>
      </c>
      <c r="F53" s="15">
        <f t="array" aca="1" ref="F53" ca="1">IFERROR(SUMIFS(INDEX(RekapJurnalUnit1,0,4),INDEX(RekapJurnalUnit1,0,1),$A53,INDEX(RekapJurnalUnit1,0,2),$B53),0)</f>
        <v>0</v>
      </c>
      <c r="G53" s="15">
        <f t="array" aca="1" ref="G53" ca="1">IFERROR(SUMIFS(INDEX(RekapJurnalUnit1,0,5),INDEX(RekapJurnalUnit1,0,1),$A53,INDEX(RekapJurnalUnit1,0,2),$B53),0)</f>
        <v>0</v>
      </c>
      <c r="H53" s="15">
        <f t="shared" ca="1" si="0"/>
        <v>0</v>
      </c>
      <c r="I53" s="15">
        <f t="shared" ca="1" si="1"/>
        <v>0</v>
      </c>
      <c r="J53" s="15">
        <f t="array" aca="1" ref="J53" ca="1">IFERROR(SUMIFS(INDEX(RekapPenyesuaianUnit1,0,4),INDEX(RekapPenyesuaianUnit1,0,1),$A53,INDEX(RekapPenyesuaianUnit1,0,2),$B53),0)</f>
        <v>0</v>
      </c>
      <c r="K53" s="15">
        <f t="array" aca="1" ref="K53" ca="1">IFERROR(SUMIFS(INDEX(RekapPenyesuaianUnit1,0,5),INDEX(RekapPenyesuaianUnit1,0,1),$A53,INDEX(RekapPenyesuaianUnit1,0,2),$B53),0)</f>
        <v>0</v>
      </c>
      <c r="L53" s="15">
        <f t="shared" ca="1" si="2"/>
        <v>0</v>
      </c>
      <c r="M53" s="15">
        <f t="shared" ca="1" si="3"/>
        <v>0</v>
      </c>
      <c r="N53" s="15">
        <f t="shared" ca="1" si="9"/>
        <v>0</v>
      </c>
      <c r="O53" s="15">
        <f t="shared" ca="1" si="9"/>
        <v>0</v>
      </c>
      <c r="P53" s="15">
        <f t="shared" ca="1" si="10"/>
        <v>0</v>
      </c>
      <c r="Q53" s="15">
        <f t="shared" ca="1" si="10"/>
        <v>0</v>
      </c>
    </row>
    <row r="54" spans="1:17" x14ac:dyDescent="0.2">
      <c r="A54" s="9" t="str">
        <f t="shared" si="6"/>
        <v>Peternakan Telur Sejahtera</v>
      </c>
      <c r="B54" s="13">
        <f ca="1">IFERROR(__xludf.DUMMYFUNCTION("""COMPUTED_VALUE"""),71225)</f>
        <v>71225</v>
      </c>
      <c r="C54" s="14" t="str">
        <f ca="1">IFERROR(__xludf.DUMMYFUNCTION("IF(B54="""","""",IFERROR(INDEX(FILTER(INDEX(SaldoAwal,0,6),(TRIM(TO_TEXT(INDEX(SaldoAwal,0,1)))=TRIM(TO_TEXT(B54)))+(TRIM(TO_TEXT(INDEX(SaldoAwal,0,2)))=TRIM(TO_TEXT(B54)))+(TRIM(TO_TEXT(INDEX(SaldoAwal,0,3)))=TRIM(TO_TEXT(B54)))+(TRIM(TO_TEXT(INDEX(Saldo"&amp;"Awal,0,4)))=TRIM(TO_TEXT(B54)))+(TRIM(TO_TEXT(INDEX(SaldoAwal,0,5)))=TRIM(TO_TEXT(B54)))),1),""CEK NAMA AKUN""))"),"Akumulasi Penyusutan Aset Tetap Lainnya")</f>
        <v>Akumulasi Penyusutan Aset Tetap Lainnya</v>
      </c>
      <c r="D54" s="15">
        <f t="array" aca="1" ref="D54" ca="1">IF(B54="","",IFERROR(SUMIF(INDEX(RekapSaldoAwal,0,1),$B54,INDEX(RekapSaldoAwal,0,3)),0))</f>
        <v>0</v>
      </c>
      <c r="E54" s="15">
        <f t="array" aca="1" ref="E54" ca="1">IF(B54="","",IFERROR(SUMIF(INDEX(RekapSaldoAwal,0,1),$B54,INDEX(RekapSaldoAwal,0,4)),0))</f>
        <v>0</v>
      </c>
      <c r="F54" s="15">
        <f t="array" aca="1" ref="F54" ca="1">IFERROR(SUMIFS(INDEX(RekapJurnalUnit1,0,4),INDEX(RekapJurnalUnit1,0,1),$A54,INDEX(RekapJurnalUnit1,0,2),$B54),0)</f>
        <v>0</v>
      </c>
      <c r="G54" s="15">
        <f t="array" aca="1" ref="G54" ca="1">IFERROR(SUMIFS(INDEX(RekapJurnalUnit1,0,5),INDEX(RekapJurnalUnit1,0,1),$A54,INDEX(RekapJurnalUnit1,0,2),$B54),0)</f>
        <v>0</v>
      </c>
      <c r="H54" s="15">
        <f t="shared" ca="1" si="0"/>
        <v>0</v>
      </c>
      <c r="I54" s="15">
        <f t="shared" ca="1" si="1"/>
        <v>0</v>
      </c>
      <c r="J54" s="15">
        <f t="array" aca="1" ref="J54" ca="1">IFERROR(SUMIFS(INDEX(RekapPenyesuaianUnit1,0,4),INDEX(RekapPenyesuaianUnit1,0,1),$A54,INDEX(RekapPenyesuaianUnit1,0,2),$B54),0)</f>
        <v>0</v>
      </c>
      <c r="K54" s="15">
        <f t="array" aca="1" ref="K54" ca="1">IFERROR(SUMIFS(INDEX(RekapPenyesuaianUnit1,0,5),INDEX(RekapPenyesuaianUnit1,0,1),$A54,INDEX(RekapPenyesuaianUnit1,0,2),$B54),0)</f>
        <v>0</v>
      </c>
      <c r="L54" s="15">
        <f t="shared" ca="1" si="2"/>
        <v>0</v>
      </c>
      <c r="M54" s="15">
        <f t="shared" ca="1" si="3"/>
        <v>0</v>
      </c>
      <c r="N54" s="15">
        <f t="shared" ca="1" si="9"/>
        <v>0</v>
      </c>
      <c r="O54" s="15">
        <f t="shared" ca="1" si="9"/>
        <v>0</v>
      </c>
      <c r="P54" s="15">
        <f t="shared" ca="1" si="10"/>
        <v>0</v>
      </c>
      <c r="Q54" s="15">
        <f t="shared" ca="1" si="10"/>
        <v>0</v>
      </c>
    </row>
    <row r="55" spans="1:17" x14ac:dyDescent="0.2">
      <c r="A55" s="9" t="str">
        <f t="shared" si="6"/>
        <v>Peternakan Telur Sejahtera</v>
      </c>
      <c r="B55" s="13">
        <f ca="1">IFERROR(__xludf.DUMMYFUNCTION("""COMPUTED_VALUE"""),73141)</f>
        <v>73141</v>
      </c>
      <c r="C55" s="14" t="str">
        <f ca="1">IFERROR(__xludf.DUMMYFUNCTION("IF(B55="""","""",IFERROR(INDEX(FILTER(INDEX(SaldoAwal,0,6),(TRIM(TO_TEXT(INDEX(SaldoAwal,0,1)))=TRIM(TO_TEXT(B55)))+(TRIM(TO_TEXT(INDEX(SaldoAwal,0,2)))=TRIM(TO_TEXT(B55)))+(TRIM(TO_TEXT(INDEX(SaldoAwal,0,3)))=TRIM(TO_TEXT(B55)))+(TRIM(TO_TEXT(INDEX(Saldo"&amp;"Awal,0,4)))=TRIM(TO_TEXT(B55)))+(TRIM(TO_TEXT(INDEX(SaldoAwal,0,5)))=TRIM(TO_TEXT(B55)))),1),""CEK NAMA AKUN""))"),"Pendapatan Bunga Bank")</f>
        <v>Pendapatan Bunga Bank</v>
      </c>
      <c r="D55" s="15">
        <f t="array" aca="1" ref="D55" ca="1">IF(B55="","",IFERROR(SUMIF(INDEX(RekapSaldoAwal,0,1),$B55,INDEX(RekapSaldoAwal,0,3)),0))</f>
        <v>0</v>
      </c>
      <c r="E55" s="15">
        <f t="array" aca="1" ref="E55" ca="1">IF(B55="","",IFERROR(SUMIF(INDEX(RekapSaldoAwal,0,1),$B55,INDEX(RekapSaldoAwal,0,4)),0))</f>
        <v>0</v>
      </c>
      <c r="F55" s="15">
        <f t="array" aca="1" ref="F55" ca="1">IFERROR(SUMIFS(INDEX(RekapJurnalUnit1,0,4),INDEX(RekapJurnalUnit1,0,1),$A55,INDEX(RekapJurnalUnit1,0,2),$B55),0)</f>
        <v>0</v>
      </c>
      <c r="G55" s="15">
        <f t="array" aca="1" ref="G55" ca="1">IFERROR(SUMIFS(INDEX(RekapJurnalUnit1,0,5),INDEX(RekapJurnalUnit1,0,1),$A55,INDEX(RekapJurnalUnit1,0,2),$B55),0)</f>
        <v>0</v>
      </c>
      <c r="H55" s="15">
        <f t="shared" ca="1" si="0"/>
        <v>0</v>
      </c>
      <c r="I55" s="15">
        <f t="shared" ca="1" si="1"/>
        <v>0</v>
      </c>
      <c r="J55" s="15">
        <f t="array" aca="1" ref="J55" ca="1">IFERROR(SUMIFS(INDEX(RekapPenyesuaianUnit1,0,4),INDEX(RekapPenyesuaianUnit1,0,1),$A55,INDEX(RekapPenyesuaianUnit1,0,2),$B55),0)</f>
        <v>0</v>
      </c>
      <c r="K55" s="15">
        <f t="array" aca="1" ref="K55" ca="1">IFERROR(SUMIFS(INDEX(RekapPenyesuaianUnit1,0,5),INDEX(RekapPenyesuaianUnit1,0,1),$A55,INDEX(RekapPenyesuaianUnit1,0,2),$B55),0)</f>
        <v>0</v>
      </c>
      <c r="L55" s="15">
        <f t="shared" ca="1" si="2"/>
        <v>0</v>
      </c>
      <c r="M55" s="15">
        <f t="shared" ca="1" si="3"/>
        <v>0</v>
      </c>
      <c r="N55" s="15">
        <f t="shared" ref="N55:O70" ca="1" si="11">IF(OR(LEFT($B55,1)="4",LEFT($B55,1)="5"),L55,0)</f>
        <v>0</v>
      </c>
      <c r="O55" s="15">
        <f t="shared" ca="1" si="11"/>
        <v>0</v>
      </c>
      <c r="P55" s="15">
        <f t="shared" ref="P55:Q70" ca="1" si="12">IF(OR(LEFT($B55,1)="1",LEFT($B55,1)="2",LEFT($B55,1)="3"),L55,0)</f>
        <v>0</v>
      </c>
      <c r="Q55" s="15">
        <f t="shared" ca="1" si="12"/>
        <v>0</v>
      </c>
    </row>
    <row r="56" spans="1:17" x14ac:dyDescent="0.2">
      <c r="A56" s="9" t="str">
        <f t="shared" si="6"/>
        <v>Peternakan Telur Sejahtera</v>
      </c>
      <c r="B56" s="13">
        <f ca="1">IFERROR(__xludf.DUMMYFUNCTION("""COMPUTED_VALUE"""),109665)</f>
        <v>109665</v>
      </c>
      <c r="C56" s="14" t="str">
        <f ca="1">IFERROR(__xludf.DUMMYFUNCTION("IF(B56="""","""",IFERROR(INDEX(FILTER(INDEX(SaldoAwal,0,6),(TRIM(TO_TEXT(INDEX(SaldoAwal,0,1)))=TRIM(TO_TEXT(B56)))+(TRIM(TO_TEXT(INDEX(SaldoAwal,0,2)))=TRIM(TO_TEXT(B56)))+(TRIM(TO_TEXT(INDEX(SaldoAwal,0,3)))=TRIM(TO_TEXT(B56)))+(TRIM(TO_TEXT(INDEX(Saldo"&amp;"Awal,0,4)))=TRIM(TO_TEXT(B56)))+(TRIM(TO_TEXT(INDEX(SaldoAwal,0,5)))=TRIM(TO_TEXT(B56)))),1),""CEK NAMA AKUN""))"),"Laba Penjualan Aset Tetap")</f>
        <v>Laba Penjualan Aset Tetap</v>
      </c>
      <c r="D56" s="15">
        <f t="array" aca="1" ref="D56" ca="1">IF(B56="","",IFERROR(SUMIF(INDEX(RekapSaldoAwal,0,1),$B56,INDEX(RekapSaldoAwal,0,3)),0))</f>
        <v>0</v>
      </c>
      <c r="E56" s="15">
        <f t="array" aca="1" ref="E56" ca="1">IF(B56="","",IFERROR(SUMIF(INDEX(RekapSaldoAwal,0,1),$B56,INDEX(RekapSaldoAwal,0,4)),0))</f>
        <v>0</v>
      </c>
      <c r="F56" s="15">
        <f t="array" aca="1" ref="F56" ca="1">IFERROR(SUMIFS(INDEX(RekapJurnalUnit1,0,4),INDEX(RekapJurnalUnit1,0,1),$A56,INDEX(RekapJurnalUnit1,0,2),$B56),0)</f>
        <v>0</v>
      </c>
      <c r="G56" s="15">
        <f t="array" aca="1" ref="G56" ca="1">IFERROR(SUMIFS(INDEX(RekapJurnalUnit1,0,5),INDEX(RekapJurnalUnit1,0,1),$A56,INDEX(RekapJurnalUnit1,0,2),$B56),0)</f>
        <v>0</v>
      </c>
      <c r="H56" s="15">
        <f t="shared" ca="1" si="0"/>
        <v>0</v>
      </c>
      <c r="I56" s="15">
        <f t="shared" ca="1" si="1"/>
        <v>0</v>
      </c>
      <c r="J56" s="15">
        <f t="array" aca="1" ref="J56" ca="1">IFERROR(SUMIFS(INDEX(RekapPenyesuaianUnit1,0,4),INDEX(RekapPenyesuaianUnit1,0,1),$A56,INDEX(RekapPenyesuaianUnit1,0,2),$B56),0)</f>
        <v>0</v>
      </c>
      <c r="K56" s="15">
        <f t="array" aca="1" ref="K56" ca="1">IFERROR(SUMIFS(INDEX(RekapPenyesuaianUnit1,0,5),INDEX(RekapPenyesuaianUnit1,0,1),$A56,INDEX(RekapPenyesuaianUnit1,0,2),$B56),0)</f>
        <v>0</v>
      </c>
      <c r="L56" s="15">
        <f t="shared" ca="1" si="2"/>
        <v>0</v>
      </c>
      <c r="M56" s="15">
        <f t="shared" ca="1" si="3"/>
        <v>0</v>
      </c>
      <c r="N56" s="15">
        <f t="shared" ca="1" si="11"/>
        <v>0</v>
      </c>
      <c r="O56" s="15">
        <f t="shared" ca="1" si="11"/>
        <v>0</v>
      </c>
      <c r="P56" s="15">
        <f t="shared" ca="1" si="12"/>
        <v>0</v>
      </c>
      <c r="Q56" s="15">
        <f t="shared" ca="1" si="12"/>
        <v>0</v>
      </c>
    </row>
    <row r="57" spans="1:17" x14ac:dyDescent="0.2">
      <c r="A57" s="9" t="str">
        <f t="shared" si="6"/>
        <v>Peternakan Telur Sejahtera</v>
      </c>
      <c r="B57" s="13">
        <f ca="1">IFERROR(__xludf.DUMMYFUNCTION("""COMPUTED_VALUE"""),113712)</f>
        <v>113712</v>
      </c>
      <c r="C57" s="14" t="str">
        <f ca="1">IFERROR(__xludf.DUMMYFUNCTION("IF(B57="""","""",IFERROR(INDEX(FILTER(INDEX(SaldoAwal,0,6),(TRIM(TO_TEXT(INDEX(SaldoAwal,0,1)))=TRIM(TO_TEXT(B57)))+(TRIM(TO_TEXT(INDEX(SaldoAwal,0,2)))=TRIM(TO_TEXT(B57)))+(TRIM(TO_TEXT(INDEX(SaldoAwal,0,3)))=TRIM(TO_TEXT(B57)))+(TRIM(TO_TEXT(INDEX(Saldo"&amp;"Awal,0,4)))=TRIM(TO_TEXT(B57)))+(TRIM(TO_TEXT(INDEX(SaldoAwal,0,5)))=TRIM(TO_TEXT(B57)))),1),""CEK NAMA AKUN""))"),"Beban Operasional Minimarket Desa Mart")</f>
        <v>Beban Operasional Minimarket Desa Mart</v>
      </c>
      <c r="D57" s="15">
        <f t="array" aca="1" ref="D57" ca="1">IF(B57="","",IFERROR(SUMIF(INDEX(RekapSaldoAwal,0,1),$B57,INDEX(RekapSaldoAwal,0,3)),0))</f>
        <v>0</v>
      </c>
      <c r="E57" s="15">
        <f t="array" aca="1" ref="E57" ca="1">IF(B57="","",IFERROR(SUMIF(INDEX(RekapSaldoAwal,0,1),$B57,INDEX(RekapSaldoAwal,0,4)),0))</f>
        <v>0</v>
      </c>
      <c r="F57" s="15">
        <f t="array" aca="1" ref="F57" ca="1">IFERROR(SUMIFS(INDEX(RekapJurnalUnit1,0,4),INDEX(RekapJurnalUnit1,0,1),$A57,INDEX(RekapJurnalUnit1,0,2),$B57),0)</f>
        <v>0</v>
      </c>
      <c r="G57" s="15">
        <f t="array" aca="1" ref="G57" ca="1">IFERROR(SUMIFS(INDEX(RekapJurnalUnit1,0,5),INDEX(RekapJurnalUnit1,0,1),$A57,INDEX(RekapJurnalUnit1,0,2),$B57),0)</f>
        <v>0</v>
      </c>
      <c r="H57" s="15">
        <f t="shared" ca="1" si="0"/>
        <v>0</v>
      </c>
      <c r="I57" s="15">
        <f t="shared" ca="1" si="1"/>
        <v>0</v>
      </c>
      <c r="J57" s="15">
        <f t="array" aca="1" ref="J57" ca="1">IFERROR(SUMIFS(INDEX(RekapPenyesuaianUnit1,0,4),INDEX(RekapPenyesuaianUnit1,0,1),$A57,INDEX(RekapPenyesuaianUnit1,0,2),$B57),0)</f>
        <v>0</v>
      </c>
      <c r="K57" s="15">
        <f t="array" aca="1" ref="K57" ca="1">IFERROR(SUMIFS(INDEX(RekapPenyesuaianUnit1,0,5),INDEX(RekapPenyesuaianUnit1,0,1),$A57,INDEX(RekapPenyesuaianUnit1,0,2),$B57),0)</f>
        <v>0</v>
      </c>
      <c r="L57" s="15">
        <f t="shared" ca="1" si="2"/>
        <v>0</v>
      </c>
      <c r="M57" s="15">
        <f t="shared" ca="1" si="3"/>
        <v>0</v>
      </c>
      <c r="N57" s="15">
        <f t="shared" ca="1" si="11"/>
        <v>0</v>
      </c>
      <c r="O57" s="15">
        <f t="shared" ca="1" si="11"/>
        <v>0</v>
      </c>
      <c r="P57" s="15">
        <f t="shared" ca="1" si="12"/>
        <v>0</v>
      </c>
      <c r="Q57" s="15">
        <f t="shared" ca="1" si="12"/>
        <v>0</v>
      </c>
    </row>
    <row r="58" spans="1:17" x14ac:dyDescent="0.2">
      <c r="A58" s="9" t="str">
        <f t="shared" si="6"/>
        <v>Peternakan Telur Sejahtera</v>
      </c>
      <c r="B58" s="13">
        <f ca="1">IFERROR(__xludf.DUMMYFUNCTION("""COMPUTED_VALUE"""),146189)</f>
        <v>146189</v>
      </c>
      <c r="C58" s="14" t="str">
        <f ca="1">IFERROR(__xludf.DUMMYFUNCTION("IF(B58="""","""",IFERROR(INDEX(FILTER(INDEX(SaldoAwal,0,6),(TRIM(TO_TEXT(INDEX(SaldoAwal,0,1)))=TRIM(TO_TEXT(B58)))+(TRIM(TO_TEXT(INDEX(SaldoAwal,0,2)))=TRIM(TO_TEXT(B58)))+(TRIM(TO_TEXT(INDEX(SaldoAwal,0,3)))=TRIM(TO_TEXT(B58)))+(TRIM(TO_TEXT(INDEX(Saldo"&amp;"Awal,0,4)))=TRIM(TO_TEXT(B58)))+(TRIM(TO_TEXT(INDEX(SaldoAwal,0,5)))=TRIM(TO_TEXT(B58)))),1),""CEK NAMA AKUN""))"),"Pendapatan Lain-lain Non-Operasional")</f>
        <v>Pendapatan Lain-lain Non-Operasional</v>
      </c>
      <c r="D58" s="15">
        <f t="array" aca="1" ref="D58" ca="1">IF(B58="","",IFERROR(SUMIF(INDEX(RekapSaldoAwal,0,1),$B58,INDEX(RekapSaldoAwal,0,3)),0))</f>
        <v>0</v>
      </c>
      <c r="E58" s="15">
        <f t="array" aca="1" ref="E58" ca="1">IF(B58="","",IFERROR(SUMIF(INDEX(RekapSaldoAwal,0,1),$B58,INDEX(RekapSaldoAwal,0,4)),0))</f>
        <v>0</v>
      </c>
      <c r="F58" s="15">
        <f t="array" aca="1" ref="F58" ca="1">IFERROR(SUMIFS(INDEX(RekapJurnalUnit1,0,4),INDEX(RekapJurnalUnit1,0,1),$A58,INDEX(RekapJurnalUnit1,0,2),$B58),0)</f>
        <v>0</v>
      </c>
      <c r="G58" s="15">
        <f t="array" aca="1" ref="G58" ca="1">IFERROR(SUMIFS(INDEX(RekapJurnalUnit1,0,5),INDEX(RekapJurnalUnit1,0,1),$A58,INDEX(RekapJurnalUnit1,0,2),$B58),0)</f>
        <v>0</v>
      </c>
      <c r="H58" s="15">
        <f t="shared" ca="1" si="0"/>
        <v>0</v>
      </c>
      <c r="I58" s="15">
        <f t="shared" ca="1" si="1"/>
        <v>0</v>
      </c>
      <c r="J58" s="15">
        <f t="array" aca="1" ref="J58" ca="1">IFERROR(SUMIFS(INDEX(RekapPenyesuaianUnit1,0,4),INDEX(RekapPenyesuaianUnit1,0,1),$A58,INDEX(RekapPenyesuaianUnit1,0,2),$B58),0)</f>
        <v>0</v>
      </c>
      <c r="K58" s="15">
        <f t="array" aca="1" ref="K58" ca="1">IFERROR(SUMIFS(INDEX(RekapPenyesuaianUnit1,0,5),INDEX(RekapPenyesuaianUnit1,0,1),$A58,INDEX(RekapPenyesuaianUnit1,0,2),$B58),0)</f>
        <v>0</v>
      </c>
      <c r="L58" s="15">
        <f t="shared" ca="1" si="2"/>
        <v>0</v>
      </c>
      <c r="M58" s="15">
        <f t="shared" ca="1" si="3"/>
        <v>0</v>
      </c>
      <c r="N58" s="15">
        <f t="shared" ca="1" si="11"/>
        <v>0</v>
      </c>
      <c r="O58" s="15">
        <f t="shared" ca="1" si="11"/>
        <v>0</v>
      </c>
      <c r="P58" s="15">
        <f t="shared" ca="1" si="12"/>
        <v>0</v>
      </c>
      <c r="Q58" s="15">
        <f t="shared" ca="1" si="12"/>
        <v>0</v>
      </c>
    </row>
    <row r="59" spans="1:17" x14ac:dyDescent="0.2">
      <c r="A59" s="9" t="str">
        <f t="shared" si="6"/>
        <v>Peternakan Telur Sejahtera</v>
      </c>
      <c r="B59" s="13">
        <f ca="1">IFERROR(__xludf.DUMMYFUNCTION("""COMPUTED_VALUE"""),405421)</f>
        <v>405421</v>
      </c>
      <c r="C59" s="14" t="str">
        <f ca="1">IFERROR(__xludf.DUMMYFUNCTION("IF(B59="""","""",IFERROR(INDEX(FILTER(INDEX(SaldoAwal,0,6),(TRIM(TO_TEXT(INDEX(SaldoAwal,0,1)))=TRIM(TO_TEXT(B59)))+(TRIM(TO_TEXT(INDEX(SaldoAwal,0,2)))=TRIM(TO_TEXT(B59)))+(TRIM(TO_TEXT(INDEX(SaldoAwal,0,3)))=TRIM(TO_TEXT(B59)))+(TRIM(TO_TEXT(INDEX(Saldo"&amp;"Awal,0,4)))=TRIM(TO_TEXT(B59)))+(TRIM(TO_TEXT(INDEX(SaldoAwal,0,5)))=TRIM(TO_TEXT(B59)))),1),""CEK NAMA AKUN""))"),"Investasi Jangka Panjang")</f>
        <v>Investasi Jangka Panjang</v>
      </c>
      <c r="D59" s="15">
        <f t="array" aca="1" ref="D59" ca="1">IF(B59="","",IFERROR(SUMIF(INDEX(RekapSaldoAwal,0,1),$B59,INDEX(RekapSaldoAwal,0,3)),0))</f>
        <v>0</v>
      </c>
      <c r="E59" s="15">
        <f t="array" aca="1" ref="E59" ca="1">IF(B59="","",IFERROR(SUMIF(INDEX(RekapSaldoAwal,0,1),$B59,INDEX(RekapSaldoAwal,0,4)),0))</f>
        <v>0</v>
      </c>
      <c r="F59" s="15">
        <f t="array" aca="1" ref="F59" ca="1">IFERROR(SUMIFS(INDEX(RekapJurnalUnit1,0,4),INDEX(RekapJurnalUnit1,0,1),$A59,INDEX(RekapJurnalUnit1,0,2),$B59),0)</f>
        <v>0</v>
      </c>
      <c r="G59" s="15">
        <f t="array" aca="1" ref="G59" ca="1">IFERROR(SUMIFS(INDEX(RekapJurnalUnit1,0,5),INDEX(RekapJurnalUnit1,0,1),$A59,INDEX(RekapJurnalUnit1,0,2),$B59),0)</f>
        <v>0</v>
      </c>
      <c r="H59" s="15">
        <f t="shared" ca="1" si="0"/>
        <v>0</v>
      </c>
      <c r="I59" s="15">
        <f t="shared" ca="1" si="1"/>
        <v>0</v>
      </c>
      <c r="J59" s="15">
        <f t="array" aca="1" ref="J59" ca="1">IFERROR(SUMIFS(INDEX(RekapPenyesuaianUnit1,0,4),INDEX(RekapPenyesuaianUnit1,0,1),$A59,INDEX(RekapPenyesuaianUnit1,0,2),$B59),0)</f>
        <v>0</v>
      </c>
      <c r="K59" s="15">
        <f t="array" aca="1" ref="K59" ca="1">IFERROR(SUMIFS(INDEX(RekapPenyesuaianUnit1,0,5),INDEX(RekapPenyesuaianUnit1,0,1),$A59,INDEX(RekapPenyesuaianUnit1,0,2),$B59),0)</f>
        <v>0</v>
      </c>
      <c r="L59" s="15">
        <f t="shared" ca="1" si="2"/>
        <v>0</v>
      </c>
      <c r="M59" s="15">
        <f t="shared" ca="1" si="3"/>
        <v>0</v>
      </c>
      <c r="N59" s="15">
        <f t="shared" ca="1" si="11"/>
        <v>0</v>
      </c>
      <c r="O59" s="15">
        <f t="shared" ca="1" si="11"/>
        <v>0</v>
      </c>
      <c r="P59" s="15">
        <f t="shared" ca="1" si="12"/>
        <v>0</v>
      </c>
      <c r="Q59" s="15">
        <f t="shared" ca="1" si="12"/>
        <v>0</v>
      </c>
    </row>
    <row r="60" spans="1:17" x14ac:dyDescent="0.2">
      <c r="A60" s="9" t="str">
        <f t="shared" si="6"/>
        <v>Peternakan Telur Sejahtera</v>
      </c>
      <c r="B60" s="13">
        <f ca="1">IFERROR(__xludf.DUMMYFUNCTION("""COMPUTED_VALUE"""),409073)</f>
        <v>409073</v>
      </c>
      <c r="C60" s="14" t="str">
        <f ca="1">IFERROR(__xludf.DUMMYFUNCTION("IF(B60="""","""",IFERROR(INDEX(FILTER(INDEX(SaldoAwal,0,6),(TRIM(TO_TEXT(INDEX(SaldoAwal,0,1)))=TRIM(TO_TEXT(B60)))+(TRIM(TO_TEXT(INDEX(SaldoAwal,0,2)))=TRIM(TO_TEXT(B60)))+(TRIM(TO_TEXT(INDEX(SaldoAwal,0,3)))=TRIM(TO_TEXT(B60)))+(TRIM(TO_TEXT(INDEX(Saldo"&amp;"Awal,0,4)))=TRIM(TO_TEXT(B60)))+(TRIM(TO_TEXT(INDEX(SaldoAwal,0,5)))=TRIM(TO_TEXT(B60)))),1),""CEK NAMA AKUN""))"),"Aset Tak Berwujud")</f>
        <v>Aset Tak Berwujud</v>
      </c>
      <c r="D60" s="15">
        <f t="array" aca="1" ref="D60" ca="1">IF(B60="","",IFERROR(SUMIF(INDEX(RekapSaldoAwal,0,1),$B60,INDEX(RekapSaldoAwal,0,3)),0))</f>
        <v>0</v>
      </c>
      <c r="E60" s="15">
        <f t="array" aca="1" ref="E60" ca="1">IF(B60="","",IFERROR(SUMIF(INDEX(RekapSaldoAwal,0,1),$B60,INDEX(RekapSaldoAwal,0,4)),0))</f>
        <v>0</v>
      </c>
      <c r="F60" s="15">
        <f t="array" aca="1" ref="F60" ca="1">IFERROR(SUMIFS(INDEX(RekapJurnalUnit1,0,4),INDEX(RekapJurnalUnit1,0,1),$A60,INDEX(RekapJurnalUnit1,0,2),$B60),0)</f>
        <v>0</v>
      </c>
      <c r="G60" s="15">
        <f t="array" aca="1" ref="G60" ca="1">IFERROR(SUMIFS(INDEX(RekapJurnalUnit1,0,5),INDEX(RekapJurnalUnit1,0,1),$A60,INDEX(RekapJurnalUnit1,0,2),$B60),0)</f>
        <v>0</v>
      </c>
      <c r="H60" s="15">
        <f t="shared" ca="1" si="0"/>
        <v>0</v>
      </c>
      <c r="I60" s="15">
        <f t="shared" ca="1" si="1"/>
        <v>0</v>
      </c>
      <c r="J60" s="15">
        <f t="array" aca="1" ref="J60" ca="1">IFERROR(SUMIFS(INDEX(RekapPenyesuaianUnit1,0,4),INDEX(RekapPenyesuaianUnit1,0,1),$A60,INDEX(RekapPenyesuaianUnit1,0,2),$B60),0)</f>
        <v>0</v>
      </c>
      <c r="K60" s="15">
        <f t="array" aca="1" ref="K60" ca="1">IFERROR(SUMIFS(INDEX(RekapPenyesuaianUnit1,0,5),INDEX(RekapPenyesuaianUnit1,0,1),$A60,INDEX(RekapPenyesuaianUnit1,0,2),$B60),0)</f>
        <v>0</v>
      </c>
      <c r="L60" s="15">
        <f t="shared" ca="1" si="2"/>
        <v>0</v>
      </c>
      <c r="M60" s="15">
        <f t="shared" ca="1" si="3"/>
        <v>0</v>
      </c>
      <c r="N60" s="15">
        <f t="shared" ca="1" si="11"/>
        <v>0</v>
      </c>
      <c r="O60" s="15">
        <f t="shared" ca="1" si="11"/>
        <v>0</v>
      </c>
      <c r="P60" s="15">
        <f t="shared" ca="1" si="12"/>
        <v>0</v>
      </c>
      <c r="Q60" s="15">
        <f t="shared" ca="1" si="12"/>
        <v>0</v>
      </c>
    </row>
    <row r="61" spans="1:17" x14ac:dyDescent="0.2">
      <c r="A61" s="9" t="str">
        <f t="shared" si="6"/>
        <v>Peternakan Telur Sejahtera</v>
      </c>
      <c r="B61" s="13">
        <f ca="1">IFERROR(__xludf.DUMMYFUNCTION("""COMPUTED_VALUE"""),434641)</f>
        <v>434641</v>
      </c>
      <c r="C61" s="14" t="str">
        <f ca="1">IFERROR(__xludf.DUMMYFUNCTION("IF(B61="""","""",IFERROR(INDEX(FILTER(INDEX(SaldoAwal,0,6),(TRIM(TO_TEXT(INDEX(SaldoAwal,0,1)))=TRIM(TO_TEXT(B61)))+(TRIM(TO_TEXT(INDEX(SaldoAwal,0,2)))=TRIM(TO_TEXT(B61)))+(TRIM(TO_TEXT(INDEX(SaldoAwal,0,3)))=TRIM(TO_TEXT(B61)))+(TRIM(TO_TEXT(INDEX(Saldo"&amp;"Awal,0,4)))=TRIM(TO_TEXT(B61)))+(TRIM(TO_TEXT(INDEX(SaldoAwal,0,5)))=TRIM(TO_TEXT(B61)))),1),""CEK NAMA AKUN""))"),"Akumulasi Amortisasi Aset Tak Berwujud")</f>
        <v>Akumulasi Amortisasi Aset Tak Berwujud</v>
      </c>
      <c r="D61" s="15">
        <f t="array" aca="1" ref="D61" ca="1">IF(B61="","",IFERROR(SUMIF(INDEX(RekapSaldoAwal,0,1),$B61,INDEX(RekapSaldoAwal,0,3)),0))</f>
        <v>0</v>
      </c>
      <c r="E61" s="15">
        <f t="array" aca="1" ref="E61" ca="1">IF(B61="","",IFERROR(SUMIF(INDEX(RekapSaldoAwal,0,1),$B61,INDEX(RekapSaldoAwal,0,4)),0))</f>
        <v>0</v>
      </c>
      <c r="F61" s="15">
        <f t="array" aca="1" ref="F61" ca="1">IFERROR(SUMIFS(INDEX(RekapJurnalUnit1,0,4),INDEX(RekapJurnalUnit1,0,1),$A61,INDEX(RekapJurnalUnit1,0,2),$B61),0)</f>
        <v>0</v>
      </c>
      <c r="G61" s="15">
        <f t="array" aca="1" ref="G61" ca="1">IFERROR(SUMIFS(INDEX(RekapJurnalUnit1,0,5),INDEX(RekapJurnalUnit1,0,1),$A61,INDEX(RekapJurnalUnit1,0,2),$B61),0)</f>
        <v>0</v>
      </c>
      <c r="H61" s="15">
        <f t="shared" ca="1" si="0"/>
        <v>0</v>
      </c>
      <c r="I61" s="15">
        <f t="shared" ca="1" si="1"/>
        <v>0</v>
      </c>
      <c r="J61" s="15">
        <f t="array" aca="1" ref="J61" ca="1">IFERROR(SUMIFS(INDEX(RekapPenyesuaianUnit1,0,4),INDEX(RekapPenyesuaianUnit1,0,1),$A61,INDEX(RekapPenyesuaianUnit1,0,2),$B61),0)</f>
        <v>0</v>
      </c>
      <c r="K61" s="15">
        <f t="array" aca="1" ref="K61" ca="1">IFERROR(SUMIFS(INDEX(RekapPenyesuaianUnit1,0,5),INDEX(RekapPenyesuaianUnit1,0,1),$A61,INDEX(RekapPenyesuaianUnit1,0,2),$B61),0)</f>
        <v>0</v>
      </c>
      <c r="L61" s="15">
        <f t="shared" ca="1" si="2"/>
        <v>0</v>
      </c>
      <c r="M61" s="15">
        <f t="shared" ca="1" si="3"/>
        <v>0</v>
      </c>
      <c r="N61" s="15">
        <f t="shared" ca="1" si="11"/>
        <v>0</v>
      </c>
      <c r="O61" s="15">
        <f t="shared" ca="1" si="11"/>
        <v>0</v>
      </c>
      <c r="P61" s="15">
        <f t="shared" ca="1" si="12"/>
        <v>0</v>
      </c>
      <c r="Q61" s="15">
        <f t="shared" ca="1" si="12"/>
        <v>0</v>
      </c>
    </row>
    <row r="62" spans="1:17" x14ac:dyDescent="0.2">
      <c r="A62" s="9" t="str">
        <f t="shared" si="6"/>
        <v>Peternakan Telur Sejahtera</v>
      </c>
      <c r="B62" s="9" t="str">
        <f ca="1">IFERROR(__xludf.DUMMYFUNCTION("""COMPUTED_VALUE"""),"5-2100")</f>
        <v>5-2100</v>
      </c>
      <c r="C62" s="14" t="str">
        <f ca="1">IFERROR(__xludf.DUMMYFUNCTION("IF(B62="""","""",IFERROR(INDEX(FILTER(INDEX(SaldoAwal,0,6),(TRIM(TO_TEXT(INDEX(SaldoAwal,0,1)))=TRIM(TO_TEXT(B62)))+(TRIM(TO_TEXT(INDEX(SaldoAwal,0,2)))=TRIM(TO_TEXT(B62)))+(TRIM(TO_TEXT(INDEX(SaldoAwal,0,3)))=TRIM(TO_TEXT(B62)))+(TRIM(TO_TEXT(INDEX(Saldo"&amp;"Awal,0,4)))=TRIM(TO_TEXT(B62)))+(TRIM(TO_TEXT(INDEX(SaldoAwal,0,5)))=TRIM(TO_TEXT(B62)))),1),""CEK NAMA AKUN""))"),"Beban Produksi Langsung")</f>
        <v>Beban Produksi Langsung</v>
      </c>
      <c r="D62" s="15">
        <f t="array" aca="1" ref="D62" ca="1">IF(B62="","",IFERROR(SUMIF(INDEX(RekapSaldoAwal,0,1),$B62,INDEX(RekapSaldoAwal,0,3)),0))</f>
        <v>0</v>
      </c>
      <c r="E62" s="15">
        <f t="array" aca="1" ref="E62" ca="1">IF(B62="","",IFERROR(SUMIF(INDEX(RekapSaldoAwal,0,1),$B62,INDEX(RekapSaldoAwal,0,4)),0))</f>
        <v>0</v>
      </c>
      <c r="F62" s="15">
        <f t="array" aca="1" ref="F62" ca="1">IFERROR(SUMIFS(INDEX(RekapJurnalUnit1,0,4),INDEX(RekapJurnalUnit1,0,1),$A62,INDEX(RekapJurnalUnit1,0,2),$B62),0)</f>
        <v>2300000</v>
      </c>
      <c r="G62" s="15">
        <f t="array" aca="1" ref="G62" ca="1">IFERROR(SUMIFS(INDEX(RekapJurnalUnit1,0,5),INDEX(RekapJurnalUnit1,0,1),$A62,INDEX(RekapJurnalUnit1,0,2),$B62),0)</f>
        <v>0</v>
      </c>
      <c r="H62" s="15">
        <f t="shared" ca="1" si="0"/>
        <v>2300000</v>
      </c>
      <c r="I62" s="15">
        <f t="shared" ca="1" si="1"/>
        <v>0</v>
      </c>
      <c r="J62" s="15">
        <f t="array" aca="1" ref="J62" ca="1">IFERROR(SUMIFS(INDEX(RekapPenyesuaianUnit1,0,4),INDEX(RekapPenyesuaianUnit1,0,1),$A62,INDEX(RekapPenyesuaianUnit1,0,2),$B62),0)</f>
        <v>0</v>
      </c>
      <c r="K62" s="15">
        <f t="array" aca="1" ref="K62" ca="1">IFERROR(SUMIFS(INDEX(RekapPenyesuaianUnit1,0,5),INDEX(RekapPenyesuaianUnit1,0,1),$A62,INDEX(RekapPenyesuaianUnit1,0,2),$B62),0)</f>
        <v>0</v>
      </c>
      <c r="L62" s="15">
        <f t="shared" ca="1" si="2"/>
        <v>2300000</v>
      </c>
      <c r="M62" s="15">
        <f t="shared" ca="1" si="3"/>
        <v>0</v>
      </c>
      <c r="N62" s="15">
        <f t="shared" ca="1" si="11"/>
        <v>2300000</v>
      </c>
      <c r="O62" s="15">
        <f t="shared" ca="1" si="11"/>
        <v>0</v>
      </c>
      <c r="P62" s="15">
        <f t="shared" ca="1" si="12"/>
        <v>0</v>
      </c>
      <c r="Q62" s="15">
        <f t="shared" ca="1" si="12"/>
        <v>0</v>
      </c>
    </row>
    <row r="63" spans="1:17" x14ac:dyDescent="0.2">
      <c r="A63" s="9" t="str">
        <f t="shared" si="6"/>
        <v>Peternakan Telur Sejahtera</v>
      </c>
      <c r="B63" s="9" t="str">
        <f ca="1">IFERROR(__xludf.DUMMYFUNCTION("""COMPUTED_VALUE"""),"5-2210")</f>
        <v>5-2210</v>
      </c>
      <c r="C63" s="14" t="str">
        <f ca="1">IFERROR(__xludf.DUMMYFUNCTION("IF(B63="""","""",IFERROR(INDEX(FILTER(INDEX(SaldoAwal,0,6),(TRIM(TO_TEXT(INDEX(SaldoAwal,0,1)))=TRIM(TO_TEXT(B63)))+(TRIM(TO_TEXT(INDEX(SaldoAwal,0,2)))=TRIM(TO_TEXT(B63)))+(TRIM(TO_TEXT(INDEX(SaldoAwal,0,3)))=TRIM(TO_TEXT(B63)))+(TRIM(TO_TEXT(INDEX(Saldo"&amp;"Awal,0,4)))=TRIM(TO_TEXT(B63)))+(TRIM(TO_TEXT(INDEX(SaldoAwal,0,5)))=TRIM(TO_TEXT(B63)))),1),""CEK NAMA AKUN""))"),"Beban Operasional Peternakan Ayam Petelur")</f>
        <v>Beban Operasional Peternakan Ayam Petelur</v>
      </c>
      <c r="D63" s="15">
        <f t="array" aca="1" ref="D63" ca="1">IF(B63="","",IFERROR(SUMIF(INDEX(RekapSaldoAwal,0,1),$B63,INDEX(RekapSaldoAwal,0,3)),0))</f>
        <v>0</v>
      </c>
      <c r="E63" s="15">
        <f t="array" aca="1" ref="E63" ca="1">IF(B63="","",IFERROR(SUMIF(INDEX(RekapSaldoAwal,0,1),$B63,INDEX(RekapSaldoAwal,0,4)),0))</f>
        <v>0</v>
      </c>
      <c r="F63" s="15">
        <f t="array" aca="1" ref="F63" ca="1">IFERROR(SUMIFS(INDEX(RekapJurnalUnit1,0,4),INDEX(RekapJurnalUnit1,0,1),$A63,INDEX(RekapJurnalUnit1,0,2),$B63),0)</f>
        <v>7275000</v>
      </c>
      <c r="G63" s="15">
        <f t="array" aca="1" ref="G63" ca="1">IFERROR(SUMIFS(INDEX(RekapJurnalUnit1,0,5),INDEX(RekapJurnalUnit1,0,1),$A63,INDEX(RekapJurnalUnit1,0,2),$B63),0)</f>
        <v>0</v>
      </c>
      <c r="H63" s="15">
        <f t="shared" ca="1" si="0"/>
        <v>7275000</v>
      </c>
      <c r="I63" s="15">
        <f t="shared" ca="1" si="1"/>
        <v>0</v>
      </c>
      <c r="J63" s="15">
        <f t="array" aca="1" ref="J63" ca="1">IFERROR(SUMIFS(INDEX(RekapPenyesuaianUnit1,0,4),INDEX(RekapPenyesuaianUnit1,0,1),$A63,INDEX(RekapPenyesuaianUnit1,0,2),$B63),0)</f>
        <v>0</v>
      </c>
      <c r="K63" s="15">
        <f t="array" aca="1" ref="K63" ca="1">IFERROR(SUMIFS(INDEX(RekapPenyesuaianUnit1,0,5),INDEX(RekapPenyesuaianUnit1,0,1),$A63,INDEX(RekapPenyesuaianUnit1,0,2),$B63),0)</f>
        <v>6500000</v>
      </c>
      <c r="L63" s="15">
        <f t="shared" ca="1" si="2"/>
        <v>775000</v>
      </c>
      <c r="M63" s="15">
        <f t="shared" ca="1" si="3"/>
        <v>0</v>
      </c>
      <c r="N63" s="15">
        <f t="shared" ca="1" si="11"/>
        <v>775000</v>
      </c>
      <c r="O63" s="15">
        <f t="shared" ca="1" si="11"/>
        <v>0</v>
      </c>
      <c r="P63" s="15">
        <f t="shared" ca="1" si="12"/>
        <v>0</v>
      </c>
      <c r="Q63" s="15">
        <f t="shared" ca="1" si="12"/>
        <v>0</v>
      </c>
    </row>
    <row r="64" spans="1:17" x14ac:dyDescent="0.2">
      <c r="A64" s="9" t="str">
        <f t="shared" si="6"/>
        <v>Peternakan Telur Sejahtera</v>
      </c>
      <c r="B64" s="9" t="str">
        <f ca="1">IFERROR(__xludf.DUMMYFUNCTION("""COMPUTED_VALUE"""),"5-2212")</f>
        <v>5-2212</v>
      </c>
      <c r="C64" s="14" t="str">
        <f ca="1">IFERROR(__xludf.DUMMYFUNCTION("IF(B64="""","""",IFERROR(INDEX(FILTER(INDEX(SaldoAwal,0,6),(TRIM(TO_TEXT(INDEX(SaldoAwal,0,1)))=TRIM(TO_TEXT(B64)))+(TRIM(TO_TEXT(INDEX(SaldoAwal,0,2)))=TRIM(TO_TEXT(B64)))+(TRIM(TO_TEXT(INDEX(SaldoAwal,0,3)))=TRIM(TO_TEXT(B64)))+(TRIM(TO_TEXT(INDEX(Saldo"&amp;"Awal,0,4)))=TRIM(TO_TEXT(B64)))+(TRIM(TO_TEXT(INDEX(SaldoAwal,0,5)))=TRIM(TO_TEXT(B64)))),1),""CEK NAMA AKUN""))"),"Beban Operasional Layanan Jasa Desa Prima")</f>
        <v>Beban Operasional Layanan Jasa Desa Prima</v>
      </c>
      <c r="D64" s="15">
        <f t="array" aca="1" ref="D64" ca="1">IF(B64="","",IFERROR(SUMIF(INDEX(RekapSaldoAwal,0,1),$B64,INDEX(RekapSaldoAwal,0,3)),0))</f>
        <v>0</v>
      </c>
      <c r="E64" s="15">
        <f t="array" aca="1" ref="E64" ca="1">IF(B64="","",IFERROR(SUMIF(INDEX(RekapSaldoAwal,0,1),$B64,INDEX(RekapSaldoAwal,0,4)),0))</f>
        <v>0</v>
      </c>
      <c r="F64" s="15">
        <f t="array" aca="1" ref="F64" ca="1">IFERROR(SUMIFS(INDEX(RekapJurnalUnit1,0,4),INDEX(RekapJurnalUnit1,0,1),$A64,INDEX(RekapJurnalUnit1,0,2),$B64),0)</f>
        <v>0</v>
      </c>
      <c r="G64" s="15">
        <f t="array" aca="1" ref="G64" ca="1">IFERROR(SUMIFS(INDEX(RekapJurnalUnit1,0,5),INDEX(RekapJurnalUnit1,0,1),$A64,INDEX(RekapJurnalUnit1,0,2),$B64),0)</f>
        <v>0</v>
      </c>
      <c r="H64" s="15">
        <f t="shared" ca="1" si="0"/>
        <v>0</v>
      </c>
      <c r="I64" s="15">
        <f t="shared" ca="1" si="1"/>
        <v>0</v>
      </c>
      <c r="J64" s="15">
        <f t="array" aca="1" ref="J64" ca="1">IFERROR(SUMIFS(INDEX(RekapPenyesuaianUnit1,0,4),INDEX(RekapPenyesuaianUnit1,0,1),$A64,INDEX(RekapPenyesuaianUnit1,0,2),$B64),0)</f>
        <v>0</v>
      </c>
      <c r="K64" s="15">
        <f t="array" aca="1" ref="K64" ca="1">IFERROR(SUMIFS(INDEX(RekapPenyesuaianUnit1,0,5),INDEX(RekapPenyesuaianUnit1,0,1),$A64,INDEX(RekapPenyesuaianUnit1,0,2),$B64),0)</f>
        <v>0</v>
      </c>
      <c r="L64" s="15">
        <f t="shared" ca="1" si="2"/>
        <v>0</v>
      </c>
      <c r="M64" s="15">
        <f t="shared" ca="1" si="3"/>
        <v>0</v>
      </c>
      <c r="N64" s="15">
        <f t="shared" ca="1" si="11"/>
        <v>0</v>
      </c>
      <c r="O64" s="15">
        <f t="shared" ca="1" si="11"/>
        <v>0</v>
      </c>
      <c r="P64" s="15">
        <f t="shared" ca="1" si="12"/>
        <v>0</v>
      </c>
      <c r="Q64" s="15">
        <f t="shared" ca="1" si="12"/>
        <v>0</v>
      </c>
    </row>
    <row r="65" spans="1:17" x14ac:dyDescent="0.2">
      <c r="A65" s="9" t="str">
        <f t="shared" si="6"/>
        <v>Peternakan Telur Sejahtera</v>
      </c>
      <c r="B65" s="9" t="str">
        <f ca="1">IFERROR(__xludf.DUMMYFUNCTION("""COMPUTED_VALUE"""),"5-2300")</f>
        <v>5-2300</v>
      </c>
      <c r="C65" s="14" t="str">
        <f ca="1">IFERROR(__xludf.DUMMYFUNCTION("IF(B65="""","""",IFERROR(INDEX(FILTER(INDEX(SaldoAwal,0,6),(TRIM(TO_TEXT(INDEX(SaldoAwal,0,1)))=TRIM(TO_TEXT(B65)))+(TRIM(TO_TEXT(INDEX(SaldoAwal,0,2)))=TRIM(TO_TEXT(B65)))+(TRIM(TO_TEXT(INDEX(SaldoAwal,0,3)))=TRIM(TO_TEXT(B65)))+(TRIM(TO_TEXT(INDEX(Saldo"&amp;"Awal,0,4)))=TRIM(TO_TEXT(B65)))+(TRIM(TO_TEXT(INDEX(SaldoAwal,0,5)))=TRIM(TO_TEXT(B65)))),1),""CEK NAMA AKUN""))"),"Beban Pegawai")</f>
        <v>Beban Pegawai</v>
      </c>
      <c r="D65" s="15">
        <f t="array" aca="1" ref="D65" ca="1">IF(B65="","",IFERROR(SUMIF(INDEX(RekapSaldoAwal,0,1),$B65,INDEX(RekapSaldoAwal,0,3)),0))</f>
        <v>0</v>
      </c>
      <c r="E65" s="15">
        <f t="array" aca="1" ref="E65" ca="1">IF(B65="","",IFERROR(SUMIF(INDEX(RekapSaldoAwal,0,1),$B65,INDEX(RekapSaldoAwal,0,4)),0))</f>
        <v>0</v>
      </c>
      <c r="F65" s="15">
        <f t="array" aca="1" ref="F65" ca="1">IFERROR(SUMIFS(INDEX(RekapJurnalUnit1,0,4),INDEX(RekapJurnalUnit1,0,1),$A65,INDEX(RekapJurnalUnit1,0,2),$B65),0)</f>
        <v>550000</v>
      </c>
      <c r="G65" s="15">
        <f t="array" aca="1" ref="G65" ca="1">IFERROR(SUMIFS(INDEX(RekapJurnalUnit1,0,5),INDEX(RekapJurnalUnit1,0,1),$A65,INDEX(RekapJurnalUnit1,0,2),$B65),0)</f>
        <v>0</v>
      </c>
      <c r="H65" s="15">
        <f t="shared" ca="1" si="0"/>
        <v>550000</v>
      </c>
      <c r="I65" s="15">
        <f t="shared" ca="1" si="1"/>
        <v>0</v>
      </c>
      <c r="J65" s="15">
        <f t="array" aca="1" ref="J65" ca="1">IFERROR(SUMIFS(INDEX(RekapPenyesuaianUnit1,0,4),INDEX(RekapPenyesuaianUnit1,0,1),$A65,INDEX(RekapPenyesuaianUnit1,0,2),$B65),0)</f>
        <v>0</v>
      </c>
      <c r="K65" s="15">
        <f t="array" aca="1" ref="K65" ca="1">IFERROR(SUMIFS(INDEX(RekapPenyesuaianUnit1,0,5),INDEX(RekapPenyesuaianUnit1,0,1),$A65,INDEX(RekapPenyesuaianUnit1,0,2),$B65),0)</f>
        <v>0</v>
      </c>
      <c r="L65" s="15">
        <f t="shared" ca="1" si="2"/>
        <v>550000</v>
      </c>
      <c r="M65" s="15">
        <f t="shared" ca="1" si="3"/>
        <v>0</v>
      </c>
      <c r="N65" s="15">
        <f t="shared" ca="1" si="11"/>
        <v>550000</v>
      </c>
      <c r="O65" s="15">
        <f t="shared" ca="1" si="11"/>
        <v>0</v>
      </c>
      <c r="P65" s="15">
        <f t="shared" ca="1" si="12"/>
        <v>0</v>
      </c>
      <c r="Q65" s="15">
        <f t="shared" ca="1" si="12"/>
        <v>0</v>
      </c>
    </row>
    <row r="66" spans="1:17" x14ac:dyDescent="0.2">
      <c r="A66" s="9" t="str">
        <f t="shared" si="6"/>
        <v>Peternakan Telur Sejahtera</v>
      </c>
      <c r="B66" s="9" t="str">
        <f ca="1">IFERROR(__xludf.DUMMYFUNCTION("""COMPUTED_VALUE"""),"5-2400")</f>
        <v>5-2400</v>
      </c>
      <c r="C66" s="14" t="str">
        <f ca="1">IFERROR(__xludf.DUMMYFUNCTION("IF(B66="""","""",IFERROR(INDEX(FILTER(INDEX(SaldoAwal,0,6),(TRIM(TO_TEXT(INDEX(SaldoAwal,0,1)))=TRIM(TO_TEXT(B66)))+(TRIM(TO_TEXT(INDEX(SaldoAwal,0,2)))=TRIM(TO_TEXT(B66)))+(TRIM(TO_TEXT(INDEX(SaldoAwal,0,3)))=TRIM(TO_TEXT(B66)))+(TRIM(TO_TEXT(INDEX(Saldo"&amp;"Awal,0,4)))=TRIM(TO_TEXT(B66)))+(TRIM(TO_TEXT(INDEX(SaldoAwal,0,5)))=TRIM(TO_TEXT(B66)))),1),""CEK NAMA AKUN""))"),"Beban Administrasi dan Umum")</f>
        <v>Beban Administrasi dan Umum</v>
      </c>
      <c r="D66" s="15">
        <f t="array" aca="1" ref="D66" ca="1">IF(B66="","",IFERROR(SUMIF(INDEX(RekapSaldoAwal,0,1),$B66,INDEX(RekapSaldoAwal,0,3)),0))</f>
        <v>0</v>
      </c>
      <c r="E66" s="15">
        <f t="array" aca="1" ref="E66" ca="1">IF(B66="","",IFERROR(SUMIF(INDEX(RekapSaldoAwal,0,1),$B66,INDEX(RekapSaldoAwal,0,4)),0))</f>
        <v>0</v>
      </c>
      <c r="F66" s="15">
        <f t="array" aca="1" ref="F66" ca="1">IFERROR(SUMIFS(INDEX(RekapJurnalUnit1,0,4),INDEX(RekapJurnalUnit1,0,1),$A66,INDEX(RekapJurnalUnit1,0,2),$B66),0)</f>
        <v>650000</v>
      </c>
      <c r="G66" s="15">
        <f t="array" aca="1" ref="G66" ca="1">IFERROR(SUMIFS(INDEX(RekapJurnalUnit1,0,5),INDEX(RekapJurnalUnit1,0,1),$A66,INDEX(RekapJurnalUnit1,0,2),$B66),0)</f>
        <v>0</v>
      </c>
      <c r="H66" s="15">
        <f t="shared" ca="1" si="0"/>
        <v>650000</v>
      </c>
      <c r="I66" s="15">
        <f t="shared" ca="1" si="1"/>
        <v>0</v>
      </c>
      <c r="J66" s="15">
        <f t="array" aca="1" ref="J66" ca="1">IFERROR(SUMIFS(INDEX(RekapPenyesuaianUnit1,0,4),INDEX(RekapPenyesuaianUnit1,0,1),$A66,INDEX(RekapPenyesuaianUnit1,0,2),$B66),0)</f>
        <v>0</v>
      </c>
      <c r="K66" s="15">
        <f t="array" aca="1" ref="K66" ca="1">IFERROR(SUMIFS(INDEX(RekapPenyesuaianUnit1,0,5),INDEX(RekapPenyesuaianUnit1,0,1),$A66,INDEX(RekapPenyesuaianUnit1,0,2),$B66),0)</f>
        <v>0</v>
      </c>
      <c r="L66" s="15">
        <f t="shared" ca="1" si="2"/>
        <v>650000</v>
      </c>
      <c r="M66" s="15">
        <f t="shared" ca="1" si="3"/>
        <v>0</v>
      </c>
      <c r="N66" s="15">
        <f t="shared" ca="1" si="11"/>
        <v>650000</v>
      </c>
      <c r="O66" s="15">
        <f t="shared" ca="1" si="11"/>
        <v>0</v>
      </c>
      <c r="P66" s="15">
        <f t="shared" ca="1" si="12"/>
        <v>0</v>
      </c>
      <c r="Q66" s="15">
        <f t="shared" ca="1" si="12"/>
        <v>0</v>
      </c>
    </row>
    <row r="67" spans="1:17" x14ac:dyDescent="0.2">
      <c r="A67" s="9" t="str">
        <f t="shared" si="6"/>
        <v>Peternakan Telur Sejahtera</v>
      </c>
      <c r="B67" s="9" t="str">
        <f ca="1">IFERROR(__xludf.DUMMYFUNCTION("""COMPUTED_VALUE"""),"5-2500")</f>
        <v>5-2500</v>
      </c>
      <c r="C67" s="14" t="str">
        <f ca="1">IFERROR(__xludf.DUMMYFUNCTION("IF(B67="""","""",IFERROR(INDEX(FILTER(INDEX(SaldoAwal,0,6),(TRIM(TO_TEXT(INDEX(SaldoAwal,0,1)))=TRIM(TO_TEXT(B67)))+(TRIM(TO_TEXT(INDEX(SaldoAwal,0,2)))=TRIM(TO_TEXT(B67)))+(TRIM(TO_TEXT(INDEX(SaldoAwal,0,3)))=TRIM(TO_TEXT(B67)))+(TRIM(TO_TEXT(INDEX(Saldo"&amp;"Awal,0,4)))=TRIM(TO_TEXT(B67)))+(TRIM(TO_TEXT(INDEX(SaldoAwal,0,5)))=TRIM(TO_TEXT(B67)))),1),""CEK NAMA AKUN""))"),"Beban Utilitas")</f>
        <v>Beban Utilitas</v>
      </c>
      <c r="D67" s="15">
        <f t="array" aca="1" ref="D67" ca="1">IF(B67="","",IFERROR(SUMIF(INDEX(RekapSaldoAwal,0,1),$B67,INDEX(RekapSaldoAwal,0,3)),0))</f>
        <v>0</v>
      </c>
      <c r="E67" s="15">
        <f t="array" aca="1" ref="E67" ca="1">IF(B67="","",IFERROR(SUMIF(INDEX(RekapSaldoAwal,0,1),$B67,INDEX(RekapSaldoAwal,0,4)),0))</f>
        <v>0</v>
      </c>
      <c r="F67" s="15">
        <f t="array" aca="1" ref="F67" ca="1">IFERROR(SUMIFS(INDEX(RekapJurnalUnit1,0,4),INDEX(RekapJurnalUnit1,0,1),$A67,INDEX(RekapJurnalUnit1,0,2),$B67),0)</f>
        <v>0</v>
      </c>
      <c r="G67" s="15">
        <f t="array" aca="1" ref="G67" ca="1">IFERROR(SUMIFS(INDEX(RekapJurnalUnit1,0,5),INDEX(RekapJurnalUnit1,0,1),$A67,INDEX(RekapJurnalUnit1,0,2),$B67),0)</f>
        <v>0</v>
      </c>
      <c r="H67" s="15">
        <f t="shared" ca="1" si="0"/>
        <v>0</v>
      </c>
      <c r="I67" s="15">
        <f t="shared" ca="1" si="1"/>
        <v>0</v>
      </c>
      <c r="J67" s="15">
        <f t="array" aca="1" ref="J67" ca="1">IFERROR(SUMIFS(INDEX(RekapPenyesuaianUnit1,0,4),INDEX(RekapPenyesuaianUnit1,0,1),$A67,INDEX(RekapPenyesuaianUnit1,0,2),$B67),0)</f>
        <v>0</v>
      </c>
      <c r="K67" s="15">
        <f t="array" aca="1" ref="K67" ca="1">IFERROR(SUMIFS(INDEX(RekapPenyesuaianUnit1,0,5),INDEX(RekapPenyesuaianUnit1,0,1),$A67,INDEX(RekapPenyesuaianUnit1,0,2),$B67),0)</f>
        <v>0</v>
      </c>
      <c r="L67" s="15">
        <f t="shared" ca="1" si="2"/>
        <v>0</v>
      </c>
      <c r="M67" s="15">
        <f t="shared" ca="1" si="3"/>
        <v>0</v>
      </c>
      <c r="N67" s="15">
        <f t="shared" ca="1" si="11"/>
        <v>0</v>
      </c>
      <c r="O67" s="15">
        <f t="shared" ca="1" si="11"/>
        <v>0</v>
      </c>
      <c r="P67" s="15">
        <f t="shared" ca="1" si="12"/>
        <v>0</v>
      </c>
      <c r="Q67" s="15">
        <f t="shared" ca="1" si="12"/>
        <v>0</v>
      </c>
    </row>
    <row r="68" spans="1:17" x14ac:dyDescent="0.2">
      <c r="A68" s="9" t="str">
        <f t="shared" si="6"/>
        <v>Peternakan Telur Sejahtera</v>
      </c>
      <c r="B68" s="9" t="str">
        <f ca="1">IFERROR(__xludf.DUMMYFUNCTION("""COMPUTED_VALUE"""),"5-2600")</f>
        <v>5-2600</v>
      </c>
      <c r="C68" s="14" t="str">
        <f ca="1">IFERROR(__xludf.DUMMYFUNCTION("IF(B68="""","""",IFERROR(INDEX(FILTER(INDEX(SaldoAwal,0,6),(TRIM(TO_TEXT(INDEX(SaldoAwal,0,1)))=TRIM(TO_TEXT(B68)))+(TRIM(TO_TEXT(INDEX(SaldoAwal,0,2)))=TRIM(TO_TEXT(B68)))+(TRIM(TO_TEXT(INDEX(SaldoAwal,0,3)))=TRIM(TO_TEXT(B68)))+(TRIM(TO_TEXT(INDEX(Saldo"&amp;"Awal,0,4)))=TRIM(TO_TEXT(B68)))+(TRIM(TO_TEXT(INDEX(SaldoAwal,0,5)))=TRIM(TO_TEXT(B68)))),1),""CEK NAMA AKUN""))"),"Beban Pemeliharaan dan Perbaikan")</f>
        <v>Beban Pemeliharaan dan Perbaikan</v>
      </c>
      <c r="D68" s="15">
        <f t="array" aca="1" ref="D68" ca="1">IF(B68="","",IFERROR(SUMIF(INDEX(RekapSaldoAwal,0,1),$B68,INDEX(RekapSaldoAwal,0,3)),0))</f>
        <v>0</v>
      </c>
      <c r="E68" s="15">
        <f t="array" aca="1" ref="E68" ca="1">IF(B68="","",IFERROR(SUMIF(INDEX(RekapSaldoAwal,0,1),$B68,INDEX(RekapSaldoAwal,0,4)),0))</f>
        <v>0</v>
      </c>
      <c r="F68" s="15">
        <f t="array" aca="1" ref="F68" ca="1">IFERROR(SUMIFS(INDEX(RekapJurnalUnit1,0,4),INDEX(RekapJurnalUnit1,0,1),$A68,INDEX(RekapJurnalUnit1,0,2),$B68),0)</f>
        <v>0</v>
      </c>
      <c r="G68" s="15">
        <f t="array" aca="1" ref="G68" ca="1">IFERROR(SUMIFS(INDEX(RekapJurnalUnit1,0,5),INDEX(RekapJurnalUnit1,0,1),$A68,INDEX(RekapJurnalUnit1,0,2),$B68),0)</f>
        <v>0</v>
      </c>
      <c r="H68" s="15">
        <f t="shared" ca="1" si="0"/>
        <v>0</v>
      </c>
      <c r="I68" s="15">
        <f t="shared" ca="1" si="1"/>
        <v>0</v>
      </c>
      <c r="J68" s="15">
        <f t="array" aca="1" ref="J68" ca="1">IFERROR(SUMIFS(INDEX(RekapPenyesuaianUnit1,0,4),INDEX(RekapPenyesuaianUnit1,0,1),$A68,INDEX(RekapPenyesuaianUnit1,0,2),$B68),0)</f>
        <v>0</v>
      </c>
      <c r="K68" s="15">
        <f t="array" aca="1" ref="K68" ca="1">IFERROR(SUMIFS(INDEX(RekapPenyesuaianUnit1,0,5),INDEX(RekapPenyesuaianUnit1,0,1),$A68,INDEX(RekapPenyesuaianUnit1,0,2),$B68),0)</f>
        <v>0</v>
      </c>
      <c r="L68" s="15">
        <f t="shared" ca="1" si="2"/>
        <v>0</v>
      </c>
      <c r="M68" s="15">
        <f t="shared" ca="1" si="3"/>
        <v>0</v>
      </c>
      <c r="N68" s="15">
        <f t="shared" ca="1" si="11"/>
        <v>0</v>
      </c>
      <c r="O68" s="15">
        <f t="shared" ca="1" si="11"/>
        <v>0</v>
      </c>
      <c r="P68" s="15">
        <f t="shared" ca="1" si="12"/>
        <v>0</v>
      </c>
      <c r="Q68" s="15">
        <f t="shared" ca="1" si="12"/>
        <v>0</v>
      </c>
    </row>
    <row r="69" spans="1:17" x14ac:dyDescent="0.2">
      <c r="A69" s="9" t="str">
        <f t="shared" si="6"/>
        <v>Peternakan Telur Sejahtera</v>
      </c>
      <c r="B69" s="9" t="str">
        <f ca="1">IFERROR(__xludf.DUMMYFUNCTION("""COMPUTED_VALUE"""),"5-2700")</f>
        <v>5-2700</v>
      </c>
      <c r="C69" s="14" t="str">
        <f ca="1">IFERROR(__xludf.DUMMYFUNCTION("IF(B69="""","""",IFERROR(INDEX(FILTER(INDEX(SaldoAwal,0,6),(TRIM(TO_TEXT(INDEX(SaldoAwal,0,1)))=TRIM(TO_TEXT(B69)))+(TRIM(TO_TEXT(INDEX(SaldoAwal,0,2)))=TRIM(TO_TEXT(B69)))+(TRIM(TO_TEXT(INDEX(SaldoAwal,0,3)))=TRIM(TO_TEXT(B69)))+(TRIM(TO_TEXT(INDEX(Saldo"&amp;"Awal,0,4)))=TRIM(TO_TEXT(B69)))+(TRIM(TO_TEXT(INDEX(SaldoAwal,0,5)))=TRIM(TO_TEXT(B69)))),1),""CEK NAMA AKUN""))"),"Beban Perlengkapan")</f>
        <v>Beban Perlengkapan</v>
      </c>
      <c r="D69" s="15">
        <f t="array" aca="1" ref="D69" ca="1">IF(B69="","",IFERROR(SUMIF(INDEX(RekapSaldoAwal,0,1),$B69,INDEX(RekapSaldoAwal,0,3)),0))</f>
        <v>0</v>
      </c>
      <c r="E69" s="15">
        <f t="array" aca="1" ref="E69" ca="1">IF(B69="","",IFERROR(SUMIF(INDEX(RekapSaldoAwal,0,1),$B69,INDEX(RekapSaldoAwal,0,4)),0))</f>
        <v>0</v>
      </c>
      <c r="F69" s="15">
        <f t="array" aca="1" ref="F69" ca="1">IFERROR(SUMIFS(INDEX(RekapJurnalUnit1,0,4),INDEX(RekapJurnalUnit1,0,1),$A69,INDEX(RekapJurnalUnit1,0,2),$B69),0)</f>
        <v>0</v>
      </c>
      <c r="G69" s="15">
        <f t="array" aca="1" ref="G69" ca="1">IFERROR(SUMIFS(INDEX(RekapJurnalUnit1,0,5),INDEX(RekapJurnalUnit1,0,1),$A69,INDEX(RekapJurnalUnit1,0,2),$B69),0)</f>
        <v>0</v>
      </c>
      <c r="H69" s="15">
        <f t="shared" ca="1" si="0"/>
        <v>0</v>
      </c>
      <c r="I69" s="15">
        <f t="shared" ca="1" si="1"/>
        <v>0</v>
      </c>
      <c r="J69" s="15">
        <f t="array" aca="1" ref="J69" ca="1">IFERROR(SUMIFS(INDEX(RekapPenyesuaianUnit1,0,4),INDEX(RekapPenyesuaianUnit1,0,1),$A69,INDEX(RekapPenyesuaianUnit1,0,2),$B69),0)</f>
        <v>510416</v>
      </c>
      <c r="K69" s="15">
        <f t="array" aca="1" ref="K69" ca="1">IFERROR(SUMIFS(INDEX(RekapPenyesuaianUnit1,0,5),INDEX(RekapPenyesuaianUnit1,0,1),$A69,INDEX(RekapPenyesuaianUnit1,0,2),$B69),0)</f>
        <v>0</v>
      </c>
      <c r="L69" s="15">
        <f t="shared" ca="1" si="2"/>
        <v>510416</v>
      </c>
      <c r="M69" s="15">
        <f t="shared" ca="1" si="3"/>
        <v>0</v>
      </c>
      <c r="N69" s="15">
        <f t="shared" ca="1" si="11"/>
        <v>510416</v>
      </c>
      <c r="O69" s="15">
        <f t="shared" ca="1" si="11"/>
        <v>0</v>
      </c>
      <c r="P69" s="15">
        <f t="shared" ca="1" si="12"/>
        <v>0</v>
      </c>
      <c r="Q69" s="15">
        <f t="shared" ca="1" si="12"/>
        <v>0</v>
      </c>
    </row>
    <row r="70" spans="1:17" x14ac:dyDescent="0.2">
      <c r="A70" s="9" t="str">
        <f t="shared" si="6"/>
        <v>Peternakan Telur Sejahtera</v>
      </c>
      <c r="B70" s="9" t="str">
        <f ca="1">IFERROR(__xludf.DUMMYFUNCTION("""COMPUTED_VALUE"""),"5-2800")</f>
        <v>5-2800</v>
      </c>
      <c r="C70" s="14" t="str">
        <f ca="1">IFERROR(__xludf.DUMMYFUNCTION("IF(B70="""","""",IFERROR(INDEX(FILTER(INDEX(SaldoAwal,0,6),(TRIM(TO_TEXT(INDEX(SaldoAwal,0,1)))=TRIM(TO_TEXT(B70)))+(TRIM(TO_TEXT(INDEX(SaldoAwal,0,2)))=TRIM(TO_TEXT(B70)))+(TRIM(TO_TEXT(INDEX(SaldoAwal,0,3)))=TRIM(TO_TEXT(B70)))+(TRIM(TO_TEXT(INDEX(Saldo"&amp;"Awal,0,4)))=TRIM(TO_TEXT(B70)))+(TRIM(TO_TEXT(INDEX(SaldoAwal,0,5)))=TRIM(TO_TEXT(B70)))),1),""CEK NAMA AKUN""))"),"Beban Sewa dan Asuransi")</f>
        <v>Beban Sewa dan Asuransi</v>
      </c>
      <c r="D70" s="15">
        <f t="array" aca="1" ref="D70" ca="1">IF(B70="","",IFERROR(SUMIF(INDEX(RekapSaldoAwal,0,1),$B70,INDEX(RekapSaldoAwal,0,3)),0))</f>
        <v>0</v>
      </c>
      <c r="E70" s="15">
        <f t="array" aca="1" ref="E70" ca="1">IF(B70="","",IFERROR(SUMIF(INDEX(RekapSaldoAwal,0,1),$B70,INDEX(RekapSaldoAwal,0,4)),0))</f>
        <v>0</v>
      </c>
      <c r="F70" s="15">
        <f t="array" aca="1" ref="F70" ca="1">IFERROR(SUMIFS(INDEX(RekapJurnalUnit1,0,4),INDEX(RekapJurnalUnit1,0,1),$A70,INDEX(RekapJurnalUnit1,0,2),$B70),0)</f>
        <v>500000</v>
      </c>
      <c r="G70" s="15">
        <f t="array" aca="1" ref="G70" ca="1">IFERROR(SUMIFS(INDEX(RekapJurnalUnit1,0,5),INDEX(RekapJurnalUnit1,0,1),$A70,INDEX(RekapJurnalUnit1,0,2),$B70),0)</f>
        <v>0</v>
      </c>
      <c r="H70" s="15">
        <f t="shared" ca="1" si="0"/>
        <v>500000</v>
      </c>
      <c r="I70" s="15">
        <f t="shared" ca="1" si="1"/>
        <v>0</v>
      </c>
      <c r="J70" s="15">
        <f t="array" aca="1" ref="J70" ca="1">IFERROR(SUMIFS(INDEX(RekapPenyesuaianUnit1,0,4),INDEX(RekapPenyesuaianUnit1,0,1),$A70,INDEX(RekapPenyesuaianUnit1,0,2),$B70),0)</f>
        <v>0</v>
      </c>
      <c r="K70" s="15">
        <f t="array" aca="1" ref="K70" ca="1">IFERROR(SUMIFS(INDEX(RekapPenyesuaianUnit1,0,5),INDEX(RekapPenyesuaianUnit1,0,1),$A70,INDEX(RekapPenyesuaianUnit1,0,2),$B70),0)</f>
        <v>0</v>
      </c>
      <c r="L70" s="15">
        <f t="shared" ca="1" si="2"/>
        <v>500000</v>
      </c>
      <c r="M70" s="15">
        <f t="shared" ca="1" si="3"/>
        <v>0</v>
      </c>
      <c r="N70" s="15">
        <f t="shared" ca="1" si="11"/>
        <v>500000</v>
      </c>
      <c r="O70" s="15">
        <f t="shared" ca="1" si="11"/>
        <v>0</v>
      </c>
      <c r="P70" s="15">
        <f t="shared" ca="1" si="12"/>
        <v>0</v>
      </c>
      <c r="Q70" s="15">
        <f t="shared" ca="1" si="12"/>
        <v>0</v>
      </c>
    </row>
    <row r="71" spans="1:17" x14ac:dyDescent="0.2">
      <c r="A71" s="9" t="str">
        <f t="shared" si="6"/>
        <v>Peternakan Telur Sejahtera</v>
      </c>
      <c r="B71" s="9" t="str">
        <f ca="1">IFERROR(__xludf.DUMMYFUNCTION("""COMPUTED_VALUE"""),"5-2900")</f>
        <v>5-2900</v>
      </c>
      <c r="C71" s="14" t="str">
        <f ca="1">IFERROR(__xludf.DUMMYFUNCTION("IF(B71="""","""",IFERROR(INDEX(FILTER(INDEX(SaldoAwal,0,6),(TRIM(TO_TEXT(INDEX(SaldoAwal,0,1)))=TRIM(TO_TEXT(B71)))+(TRIM(TO_TEXT(INDEX(SaldoAwal,0,2)))=TRIM(TO_TEXT(B71)))+(TRIM(TO_TEXT(INDEX(SaldoAwal,0,3)))=TRIM(TO_TEXT(B71)))+(TRIM(TO_TEXT(INDEX(Saldo"&amp;"Awal,0,4)))=TRIM(TO_TEXT(B71)))+(TRIM(TO_TEXT(INDEX(SaldoAwal,0,5)))=TRIM(TO_TEXT(B71)))),1),""CEK NAMA AKUN""))"),"Beban Penyusutan")</f>
        <v>Beban Penyusutan</v>
      </c>
      <c r="D71" s="15">
        <f t="array" aca="1" ref="D71" ca="1">IF(B71="","",IFERROR(SUMIF(INDEX(RekapSaldoAwal,0,1),$B71,INDEX(RekapSaldoAwal,0,3)),0))</f>
        <v>0</v>
      </c>
      <c r="E71" s="15">
        <f t="array" aca="1" ref="E71" ca="1">IF(B71="","",IFERROR(SUMIF(INDEX(RekapSaldoAwal,0,1),$B71,INDEX(RekapSaldoAwal,0,4)),0))</f>
        <v>0</v>
      </c>
      <c r="F71" s="15">
        <f t="array" aca="1" ref="F71" ca="1">IFERROR(SUMIFS(INDEX(RekapJurnalUnit1,0,4),INDEX(RekapJurnalUnit1,0,1),$A71,INDEX(RekapJurnalUnit1,0,2),$B71),0)</f>
        <v>0</v>
      </c>
      <c r="G71" s="15">
        <f t="array" aca="1" ref="G71" ca="1">IFERROR(SUMIFS(INDEX(RekapJurnalUnit1,0,5),INDEX(RekapJurnalUnit1,0,1),$A71,INDEX(RekapJurnalUnit1,0,2),$B71),0)</f>
        <v>0</v>
      </c>
      <c r="H71" s="15">
        <f t="shared" ca="1" si="0"/>
        <v>0</v>
      </c>
      <c r="I71" s="15">
        <f t="shared" ca="1" si="1"/>
        <v>0</v>
      </c>
      <c r="J71" s="15">
        <f t="array" aca="1" ref="J71" ca="1">IFERROR(SUMIFS(INDEX(RekapPenyesuaianUnit1,0,4),INDEX(RekapPenyesuaianUnit1,0,1),$A71,INDEX(RekapPenyesuaianUnit1,0,2),$B71),0)</f>
        <v>0</v>
      </c>
      <c r="K71" s="15">
        <f t="array" aca="1" ref="K71" ca="1">IFERROR(SUMIFS(INDEX(RekapPenyesuaianUnit1,0,5),INDEX(RekapPenyesuaianUnit1,0,1),$A71,INDEX(RekapPenyesuaianUnit1,0,2),$B71),0)</f>
        <v>0</v>
      </c>
      <c r="L71" s="15">
        <f t="shared" ca="1" si="2"/>
        <v>0</v>
      </c>
      <c r="M71" s="15">
        <f t="shared" ca="1" si="3"/>
        <v>0</v>
      </c>
      <c r="N71" s="15">
        <f t="shared" ref="N71:O78" ca="1" si="13">IF(OR(LEFT($B71,1)="4",LEFT($B71,1)="5"),L71,0)</f>
        <v>0</v>
      </c>
      <c r="O71" s="15">
        <f t="shared" ca="1" si="13"/>
        <v>0</v>
      </c>
      <c r="P71" s="15">
        <f t="shared" ref="P71:Q78" ca="1" si="14">IF(OR(LEFT($B71,1)="1",LEFT($B71,1)="2",LEFT($B71,1)="3"),L71,0)</f>
        <v>0</v>
      </c>
      <c r="Q71" s="15">
        <f t="shared" ca="1" si="14"/>
        <v>0</v>
      </c>
    </row>
    <row r="72" spans="1:17" x14ac:dyDescent="0.2">
      <c r="A72" s="9" t="str">
        <f t="shared" ref="A72:A78" si="15">A71</f>
        <v>Peternakan Telur Sejahtera</v>
      </c>
      <c r="B72" s="9" t="str">
        <f ca="1">IFERROR(__xludf.DUMMYFUNCTION("""COMPUTED_VALUE"""),"5-3000")</f>
        <v>5-3000</v>
      </c>
      <c r="C72" s="14" t="str">
        <f ca="1">IFERROR(__xludf.DUMMYFUNCTION("IF(B72="""","""",IFERROR(INDEX(FILTER(INDEX(SaldoAwal,0,6),(TRIM(TO_TEXT(INDEX(SaldoAwal,0,1)))=TRIM(TO_TEXT(B72)))+(TRIM(TO_TEXT(INDEX(SaldoAwal,0,2)))=TRIM(TO_TEXT(B72)))+(TRIM(TO_TEXT(INDEX(SaldoAwal,0,3)))=TRIM(TO_TEXT(B72)))+(TRIM(TO_TEXT(INDEX(Saldo"&amp;"Awal,0,4)))=TRIM(TO_TEXT(B72)))+(TRIM(TO_TEXT(INDEX(SaldoAwal,0,5)))=TRIM(TO_TEXT(B72)))),1),""CEK NAMA AKUN""))"),"Beban Pajak")</f>
        <v>Beban Pajak</v>
      </c>
      <c r="D72" s="15">
        <f t="array" aca="1" ref="D72" ca="1">IF(B72="","",IFERROR(SUMIF(INDEX(RekapSaldoAwal,0,1),$B72,INDEX(RekapSaldoAwal,0,3)),0))</f>
        <v>0</v>
      </c>
      <c r="E72" s="15">
        <f t="array" aca="1" ref="E72" ca="1">IF(B72="","",IFERROR(SUMIF(INDEX(RekapSaldoAwal,0,1),$B72,INDEX(RekapSaldoAwal,0,4)),0))</f>
        <v>0</v>
      </c>
      <c r="F72" s="15">
        <f t="array" aca="1" ref="F72" ca="1">IFERROR(SUMIFS(INDEX(RekapJurnalUnit1,0,4),INDEX(RekapJurnalUnit1,0,1),$A72,INDEX(RekapJurnalUnit1,0,2),$B72),0)</f>
        <v>0</v>
      </c>
      <c r="G72" s="15">
        <f t="array" aca="1" ref="G72" ca="1">IFERROR(SUMIFS(INDEX(RekapJurnalUnit1,0,5),INDEX(RekapJurnalUnit1,0,1),$A72,INDEX(RekapJurnalUnit1,0,2),$B72),0)</f>
        <v>0</v>
      </c>
      <c r="H72" s="15">
        <f t="shared" ca="1" si="0"/>
        <v>0</v>
      </c>
      <c r="I72" s="15">
        <f t="shared" ca="1" si="1"/>
        <v>0</v>
      </c>
      <c r="J72" s="15">
        <f t="array" aca="1" ref="J72" ca="1">IFERROR(SUMIFS(INDEX(RekapPenyesuaianUnit1,0,4),INDEX(RekapPenyesuaianUnit1,0,1),$A72,INDEX(RekapPenyesuaianUnit1,0,2),$B72),0)</f>
        <v>0</v>
      </c>
      <c r="K72" s="15">
        <f t="array" aca="1" ref="K72" ca="1">IFERROR(SUMIFS(INDEX(RekapPenyesuaianUnit1,0,5),INDEX(RekapPenyesuaianUnit1,0,1),$A72,INDEX(RekapPenyesuaianUnit1,0,2),$B72),0)</f>
        <v>0</v>
      </c>
      <c r="L72" s="15">
        <f t="shared" ca="1" si="2"/>
        <v>0</v>
      </c>
      <c r="M72" s="15">
        <f t="shared" ca="1" si="3"/>
        <v>0</v>
      </c>
      <c r="N72" s="15">
        <f t="shared" ca="1" si="13"/>
        <v>0</v>
      </c>
      <c r="O72" s="15">
        <f t="shared" ca="1" si="13"/>
        <v>0</v>
      </c>
      <c r="P72" s="15">
        <f t="shared" ca="1" si="14"/>
        <v>0</v>
      </c>
      <c r="Q72" s="15">
        <f t="shared" ca="1" si="14"/>
        <v>0</v>
      </c>
    </row>
    <row r="73" spans="1:17" x14ac:dyDescent="0.2">
      <c r="A73" s="9" t="str">
        <f t="shared" si="15"/>
        <v>Peternakan Telur Sejahtera</v>
      </c>
      <c r="B73" s="9" t="str">
        <f ca="1">IFERROR(__xludf.DUMMYFUNCTION("""COMPUTED_VALUE"""),"5-3100")</f>
        <v>5-3100</v>
      </c>
      <c r="C73" s="14" t="str">
        <f ca="1">IFERROR(__xludf.DUMMYFUNCTION("IF(B73="""","""",IFERROR(INDEX(FILTER(INDEX(SaldoAwal,0,6),(TRIM(TO_TEXT(INDEX(SaldoAwal,0,1)))=TRIM(TO_TEXT(B73)))+(TRIM(TO_TEXT(INDEX(SaldoAwal,0,2)))=TRIM(TO_TEXT(B73)))+(TRIM(TO_TEXT(INDEX(SaldoAwal,0,3)))=TRIM(TO_TEXT(B73)))+(TRIM(TO_TEXT(INDEX(Saldo"&amp;"Awal,0,4)))=TRIM(TO_TEXT(B73)))+(TRIM(TO_TEXT(INDEX(SaldoAwal,0,5)))=TRIM(TO_TEXT(B73)))),1),""CEK NAMA AKUN""))"),"Beban Operasional Lainnya")</f>
        <v>Beban Operasional Lainnya</v>
      </c>
      <c r="D73" s="15">
        <f t="array" aca="1" ref="D73" ca="1">IF(B73="","",IFERROR(SUMIF(INDEX(RekapSaldoAwal,0,1),$B73,INDEX(RekapSaldoAwal,0,3)),0))</f>
        <v>0</v>
      </c>
      <c r="E73" s="15">
        <f t="array" aca="1" ref="E73" ca="1">IF(B73="","",IFERROR(SUMIF(INDEX(RekapSaldoAwal,0,1),$B73,INDEX(RekapSaldoAwal,0,4)),0))</f>
        <v>0</v>
      </c>
      <c r="F73" s="15">
        <f t="array" aca="1" ref="F73" ca="1">IFERROR(SUMIFS(INDEX(RekapJurnalUnit1,0,4),INDEX(RekapJurnalUnit1,0,1),$A73,INDEX(RekapJurnalUnit1,0,2),$B73),0)</f>
        <v>0</v>
      </c>
      <c r="G73" s="15">
        <f t="array" aca="1" ref="G73" ca="1">IFERROR(SUMIFS(INDEX(RekapJurnalUnit1,0,5),INDEX(RekapJurnalUnit1,0,1),$A73,INDEX(RekapJurnalUnit1,0,2),$B73),0)</f>
        <v>0</v>
      </c>
      <c r="H73" s="15">
        <f t="shared" ca="1" si="0"/>
        <v>0</v>
      </c>
      <c r="I73" s="15">
        <f t="shared" ca="1" si="1"/>
        <v>0</v>
      </c>
      <c r="J73" s="15">
        <f t="array" aca="1" ref="J73" ca="1">IFERROR(SUMIFS(INDEX(RekapPenyesuaianUnit1,0,4),INDEX(RekapPenyesuaianUnit1,0,1),$A73,INDEX(RekapPenyesuaianUnit1,0,2),$B73),0)</f>
        <v>0</v>
      </c>
      <c r="K73" s="15">
        <f t="array" aca="1" ref="K73" ca="1">IFERROR(SUMIFS(INDEX(RekapPenyesuaianUnit1,0,5),INDEX(RekapPenyesuaianUnit1,0,1),$A73,INDEX(RekapPenyesuaianUnit1,0,2),$B73),0)</f>
        <v>0</v>
      </c>
      <c r="L73" s="15">
        <f t="shared" ca="1" si="2"/>
        <v>0</v>
      </c>
      <c r="M73" s="15">
        <f t="shared" ca="1" si="3"/>
        <v>0</v>
      </c>
      <c r="N73" s="15">
        <f t="shared" ca="1" si="13"/>
        <v>0</v>
      </c>
      <c r="O73" s="15">
        <f t="shared" ca="1" si="13"/>
        <v>0</v>
      </c>
      <c r="P73" s="15">
        <f t="shared" ca="1" si="14"/>
        <v>0</v>
      </c>
      <c r="Q73" s="15">
        <f t="shared" ca="1" si="14"/>
        <v>0</v>
      </c>
    </row>
    <row r="74" spans="1:17" x14ac:dyDescent="0.2">
      <c r="A74" s="9" t="str">
        <f t="shared" si="15"/>
        <v>Peternakan Telur Sejahtera</v>
      </c>
      <c r="B74" s="9" t="str">
        <f ca="1">IFERROR(__xludf.DUMMYFUNCTION("""COMPUTED_VALUE"""),"5-3201")</f>
        <v>5-3201</v>
      </c>
      <c r="C74" s="14" t="str">
        <f ca="1">IFERROR(__xludf.DUMMYFUNCTION("IF(B74="""","""",IFERROR(INDEX(FILTER(INDEX(SaldoAwal,0,6),(TRIM(TO_TEXT(INDEX(SaldoAwal,0,1)))=TRIM(TO_TEXT(B74)))+(TRIM(TO_TEXT(INDEX(SaldoAwal,0,2)))=TRIM(TO_TEXT(B74)))+(TRIM(TO_TEXT(INDEX(SaldoAwal,0,3)))=TRIM(TO_TEXT(B74)))+(TRIM(TO_TEXT(INDEX(Saldo"&amp;"Awal,0,4)))=TRIM(TO_TEXT(B74)))+(TRIM(TO_TEXT(INDEX(SaldoAwal,0,5)))=TRIM(TO_TEXT(B74)))),1),""CEK NAMA AKUN""))"),"Beban Bank")</f>
        <v>Beban Bank</v>
      </c>
      <c r="D74" s="15">
        <f t="array" aca="1" ref="D74" ca="1">IF(B74="","",IFERROR(SUMIF(INDEX(RekapSaldoAwal,0,1),$B74,INDEX(RekapSaldoAwal,0,3)),0))</f>
        <v>0</v>
      </c>
      <c r="E74" s="15">
        <f t="array" aca="1" ref="E74" ca="1">IF(B74="","",IFERROR(SUMIF(INDEX(RekapSaldoAwal,0,1),$B74,INDEX(RekapSaldoAwal,0,4)),0))</f>
        <v>0</v>
      </c>
      <c r="F74" s="15">
        <f t="array" aca="1" ref="F74" ca="1">IFERROR(SUMIFS(INDEX(RekapJurnalUnit1,0,4),INDEX(RekapJurnalUnit1,0,1),$A74,INDEX(RekapJurnalUnit1,0,2),$B74),0)</f>
        <v>0</v>
      </c>
      <c r="G74" s="15">
        <f t="array" aca="1" ref="G74" ca="1">IFERROR(SUMIFS(INDEX(RekapJurnalUnit1,0,5),INDEX(RekapJurnalUnit1,0,1),$A74,INDEX(RekapJurnalUnit1,0,2),$B74),0)</f>
        <v>0</v>
      </c>
      <c r="H74" s="15">
        <f t="shared" ca="1" si="0"/>
        <v>0</v>
      </c>
      <c r="I74" s="15">
        <f t="shared" ca="1" si="1"/>
        <v>0</v>
      </c>
      <c r="J74" s="15">
        <f t="array" aca="1" ref="J74" ca="1">IFERROR(SUMIFS(INDEX(RekapPenyesuaianUnit1,0,4),INDEX(RekapPenyesuaianUnit1,0,1),$A74,INDEX(RekapPenyesuaianUnit1,0,2),$B74),0)</f>
        <v>0</v>
      </c>
      <c r="K74" s="15">
        <f t="array" aca="1" ref="K74" ca="1">IFERROR(SUMIFS(INDEX(RekapPenyesuaianUnit1,0,5),INDEX(RekapPenyesuaianUnit1,0,1),$A74,INDEX(RekapPenyesuaianUnit1,0,2),$B74),0)</f>
        <v>0</v>
      </c>
      <c r="L74" s="15">
        <f t="shared" ca="1" si="2"/>
        <v>0</v>
      </c>
      <c r="M74" s="15">
        <f t="shared" ca="1" si="3"/>
        <v>0</v>
      </c>
      <c r="N74" s="15">
        <f t="shared" ca="1" si="13"/>
        <v>0</v>
      </c>
      <c r="O74" s="15">
        <f t="shared" ca="1" si="13"/>
        <v>0</v>
      </c>
      <c r="P74" s="15">
        <f t="shared" ca="1" si="14"/>
        <v>0</v>
      </c>
      <c r="Q74" s="15">
        <f t="shared" ca="1" si="14"/>
        <v>0</v>
      </c>
    </row>
    <row r="75" spans="1:17" x14ac:dyDescent="0.2">
      <c r="A75" s="9" t="str">
        <f t="shared" si="15"/>
        <v>Peternakan Telur Sejahtera</v>
      </c>
      <c r="B75" s="9" t="str">
        <f ca="1">IFERROR(__xludf.DUMMYFUNCTION("""COMPUTED_VALUE"""),"5-3202")</f>
        <v>5-3202</v>
      </c>
      <c r="C75" s="14" t="str">
        <f ca="1">IFERROR(__xludf.DUMMYFUNCTION("IF(B75="""","""",IFERROR(INDEX(FILTER(INDEX(SaldoAwal,0,6),(TRIM(TO_TEXT(INDEX(SaldoAwal,0,1)))=TRIM(TO_TEXT(B75)))+(TRIM(TO_TEXT(INDEX(SaldoAwal,0,2)))=TRIM(TO_TEXT(B75)))+(TRIM(TO_TEXT(INDEX(SaldoAwal,0,3)))=TRIM(TO_TEXT(B75)))+(TRIM(TO_TEXT(INDEX(Saldo"&amp;"Awal,0,4)))=TRIM(TO_TEXT(B75)))+(TRIM(TO_TEXT(INDEX(SaldoAwal,0,5)))=TRIM(TO_TEXT(B75)))),1),""CEK NAMA AKUN""))"),"Beban Bunga")</f>
        <v>Beban Bunga</v>
      </c>
      <c r="D75" s="15">
        <f t="array" aca="1" ref="D75" ca="1">IF(B75="","",IFERROR(SUMIF(INDEX(RekapSaldoAwal,0,1),$B75,INDEX(RekapSaldoAwal,0,3)),0))</f>
        <v>0</v>
      </c>
      <c r="E75" s="15">
        <f t="array" aca="1" ref="E75" ca="1">IF(B75="","",IFERROR(SUMIF(INDEX(RekapSaldoAwal,0,1),$B75,INDEX(RekapSaldoAwal,0,4)),0))</f>
        <v>0</v>
      </c>
      <c r="F75" s="15">
        <f t="array" aca="1" ref="F75" ca="1">IFERROR(SUMIFS(INDEX(RekapJurnalUnit1,0,4),INDEX(RekapJurnalUnit1,0,1),$A75,INDEX(RekapJurnalUnit1,0,2),$B75),0)</f>
        <v>0</v>
      </c>
      <c r="G75" s="15">
        <f t="array" aca="1" ref="G75" ca="1">IFERROR(SUMIFS(INDEX(RekapJurnalUnit1,0,5),INDEX(RekapJurnalUnit1,0,1),$A75,INDEX(RekapJurnalUnit1,0,2),$B75),0)</f>
        <v>0</v>
      </c>
      <c r="H75" s="15">
        <f t="shared" ca="1" si="0"/>
        <v>0</v>
      </c>
      <c r="I75" s="15">
        <f t="shared" ca="1" si="1"/>
        <v>0</v>
      </c>
      <c r="J75" s="15">
        <f t="array" aca="1" ref="J75" ca="1">IFERROR(SUMIFS(INDEX(RekapPenyesuaianUnit1,0,4),INDEX(RekapPenyesuaianUnit1,0,1),$A75,INDEX(RekapPenyesuaianUnit1,0,2),$B75),0)</f>
        <v>0</v>
      </c>
      <c r="K75" s="15">
        <f t="array" aca="1" ref="K75" ca="1">IFERROR(SUMIFS(INDEX(RekapPenyesuaianUnit1,0,5),INDEX(RekapPenyesuaianUnit1,0,1),$A75,INDEX(RekapPenyesuaianUnit1,0,2),$B75),0)</f>
        <v>0</v>
      </c>
      <c r="L75" s="15">
        <f t="shared" ca="1" si="2"/>
        <v>0</v>
      </c>
      <c r="M75" s="15">
        <f t="shared" ca="1" si="3"/>
        <v>0</v>
      </c>
      <c r="N75" s="15">
        <f t="shared" ca="1" si="13"/>
        <v>0</v>
      </c>
      <c r="O75" s="15">
        <f t="shared" ca="1" si="13"/>
        <v>0</v>
      </c>
      <c r="P75" s="15">
        <f t="shared" ca="1" si="14"/>
        <v>0</v>
      </c>
      <c r="Q75" s="15">
        <f t="shared" ca="1" si="14"/>
        <v>0</v>
      </c>
    </row>
    <row r="76" spans="1:17" x14ac:dyDescent="0.2">
      <c r="A76" s="9" t="str">
        <f t="shared" si="15"/>
        <v>Peternakan Telur Sejahtera</v>
      </c>
      <c r="B76" s="9" t="str">
        <f ca="1">IFERROR(__xludf.DUMMYFUNCTION("""COMPUTED_VALUE"""),"5-3203")</f>
        <v>5-3203</v>
      </c>
      <c r="C76" s="14" t="str">
        <f ca="1">IFERROR(__xludf.DUMMYFUNCTION("IF(B76="""","""",IFERROR(INDEX(FILTER(INDEX(SaldoAwal,0,6),(TRIM(TO_TEXT(INDEX(SaldoAwal,0,1)))=TRIM(TO_TEXT(B76)))+(TRIM(TO_TEXT(INDEX(SaldoAwal,0,2)))=TRIM(TO_TEXT(B76)))+(TRIM(TO_TEXT(INDEX(SaldoAwal,0,3)))=TRIM(TO_TEXT(B76)))+(TRIM(TO_TEXT(INDEX(Saldo"&amp;"Awal,0,4)))=TRIM(TO_TEXT(B76)))+(TRIM(TO_TEXT(INDEX(SaldoAwal,0,5)))=TRIM(TO_TEXT(B76)))),1),""CEK NAMA AKUN""))"),"Beban Denda")</f>
        <v>Beban Denda</v>
      </c>
      <c r="D76" s="15">
        <f t="array" aca="1" ref="D76" ca="1">IF(B76="","",IFERROR(SUMIF(INDEX(RekapSaldoAwal,0,1),$B76,INDEX(RekapSaldoAwal,0,3)),0))</f>
        <v>0</v>
      </c>
      <c r="E76" s="15">
        <f t="array" aca="1" ref="E76" ca="1">IF(B76="","",IFERROR(SUMIF(INDEX(RekapSaldoAwal,0,1),$B76,INDEX(RekapSaldoAwal,0,4)),0))</f>
        <v>0</v>
      </c>
      <c r="F76" s="15">
        <f t="array" aca="1" ref="F76" ca="1">IFERROR(SUMIFS(INDEX(RekapJurnalUnit1,0,4),INDEX(RekapJurnalUnit1,0,1),$A76,INDEX(RekapJurnalUnit1,0,2),$B76),0)</f>
        <v>0</v>
      </c>
      <c r="G76" s="15">
        <f t="array" aca="1" ref="G76" ca="1">IFERROR(SUMIFS(INDEX(RekapJurnalUnit1,0,5),INDEX(RekapJurnalUnit1,0,1),$A76,INDEX(RekapJurnalUnit1,0,2),$B76),0)</f>
        <v>0</v>
      </c>
      <c r="H76" s="15">
        <f t="shared" ca="1" si="0"/>
        <v>0</v>
      </c>
      <c r="I76" s="15">
        <f t="shared" ca="1" si="1"/>
        <v>0</v>
      </c>
      <c r="J76" s="15">
        <f t="array" aca="1" ref="J76" ca="1">IFERROR(SUMIFS(INDEX(RekapPenyesuaianUnit1,0,4),INDEX(RekapPenyesuaianUnit1,0,1),$A76,INDEX(RekapPenyesuaianUnit1,0,2),$B76),0)</f>
        <v>0</v>
      </c>
      <c r="K76" s="15">
        <f t="array" aca="1" ref="K76" ca="1">IFERROR(SUMIFS(INDEX(RekapPenyesuaianUnit1,0,5),INDEX(RekapPenyesuaianUnit1,0,1),$A76,INDEX(RekapPenyesuaianUnit1,0,2),$B76),0)</f>
        <v>0</v>
      </c>
      <c r="L76" s="15">
        <f t="shared" ca="1" si="2"/>
        <v>0</v>
      </c>
      <c r="M76" s="15">
        <f t="shared" ca="1" si="3"/>
        <v>0</v>
      </c>
      <c r="N76" s="15">
        <f t="shared" ca="1" si="13"/>
        <v>0</v>
      </c>
      <c r="O76" s="15">
        <f t="shared" ca="1" si="13"/>
        <v>0</v>
      </c>
      <c r="P76" s="15">
        <f t="shared" ca="1" si="14"/>
        <v>0</v>
      </c>
      <c r="Q76" s="15">
        <f t="shared" ca="1" si="14"/>
        <v>0</v>
      </c>
    </row>
    <row r="77" spans="1:17" x14ac:dyDescent="0.2">
      <c r="A77" s="9" t="str">
        <f t="shared" si="15"/>
        <v>Peternakan Telur Sejahtera</v>
      </c>
      <c r="B77" s="9" t="str">
        <f ca="1">IFERROR(__xludf.DUMMYFUNCTION("""COMPUTED_VALUE"""),"5-3204")</f>
        <v>5-3204</v>
      </c>
      <c r="C77" s="14" t="str">
        <f ca="1">IFERROR(__xludf.DUMMYFUNCTION("IF(B77="""","""",IFERROR(INDEX(FILTER(INDEX(SaldoAwal,0,6),(TRIM(TO_TEXT(INDEX(SaldoAwal,0,1)))=TRIM(TO_TEXT(B77)))+(TRIM(TO_TEXT(INDEX(SaldoAwal,0,2)))=TRIM(TO_TEXT(B77)))+(TRIM(TO_TEXT(INDEX(SaldoAwal,0,3)))=TRIM(TO_TEXT(B77)))+(TRIM(TO_TEXT(INDEX(Saldo"&amp;"Awal,0,4)))=TRIM(TO_TEXT(B77)))+(TRIM(TO_TEXT(INDEX(SaldoAwal,0,5)))=TRIM(TO_TEXT(B77)))),1),""CEK NAMA AKUN""))"),"Rugi Penjualan Aset Tetap")</f>
        <v>Rugi Penjualan Aset Tetap</v>
      </c>
      <c r="D77" s="15">
        <f t="array" aca="1" ref="D77" ca="1">IF(B77="","",IFERROR(SUMIF(INDEX(RekapSaldoAwal,0,1),$B77,INDEX(RekapSaldoAwal,0,3)),0))</f>
        <v>0</v>
      </c>
      <c r="E77" s="15">
        <f t="array" aca="1" ref="E77" ca="1">IF(B77="","",IFERROR(SUMIF(INDEX(RekapSaldoAwal,0,1),$B77,INDEX(RekapSaldoAwal,0,4)),0))</f>
        <v>0</v>
      </c>
      <c r="F77" s="15">
        <f t="array" aca="1" ref="F77" ca="1">IFERROR(SUMIFS(INDEX(RekapJurnalUnit1,0,4),INDEX(RekapJurnalUnit1,0,1),$A77,INDEX(RekapJurnalUnit1,0,2),$B77),0)</f>
        <v>38575000</v>
      </c>
      <c r="G77" s="15">
        <f t="array" aca="1" ref="G77" ca="1">IFERROR(SUMIFS(INDEX(RekapJurnalUnit1,0,5),INDEX(RekapJurnalUnit1,0,1),$A77,INDEX(RekapJurnalUnit1,0,2),$B77),0)</f>
        <v>0</v>
      </c>
      <c r="H77" s="15">
        <f t="shared" ca="1" si="0"/>
        <v>38575000</v>
      </c>
      <c r="I77" s="15">
        <f t="shared" ca="1" si="1"/>
        <v>0</v>
      </c>
      <c r="J77" s="15">
        <f t="array" aca="1" ref="J77" ca="1">IFERROR(SUMIFS(INDEX(RekapPenyesuaianUnit1,0,4),INDEX(RekapPenyesuaianUnit1,0,1),$A77,INDEX(RekapPenyesuaianUnit1,0,2),$B77),0)</f>
        <v>0</v>
      </c>
      <c r="K77" s="15">
        <f t="array" aca="1" ref="K77" ca="1">IFERROR(SUMIFS(INDEX(RekapPenyesuaianUnit1,0,5),INDEX(RekapPenyesuaianUnit1,0,1),$A77,INDEX(RekapPenyesuaianUnit1,0,2),$B77),0)</f>
        <v>0</v>
      </c>
      <c r="L77" s="15">
        <f t="shared" ca="1" si="2"/>
        <v>38575000</v>
      </c>
      <c r="M77" s="15">
        <f t="shared" ca="1" si="3"/>
        <v>0</v>
      </c>
      <c r="N77" s="15">
        <f t="shared" ca="1" si="13"/>
        <v>38575000</v>
      </c>
      <c r="O77" s="15">
        <f t="shared" ca="1" si="13"/>
        <v>0</v>
      </c>
      <c r="P77" s="15">
        <f t="shared" ca="1" si="14"/>
        <v>0</v>
      </c>
      <c r="Q77" s="15">
        <f t="shared" ca="1" si="14"/>
        <v>0</v>
      </c>
    </row>
    <row r="78" spans="1:17" x14ac:dyDescent="0.2">
      <c r="A78" s="9" t="str">
        <f t="shared" si="15"/>
        <v>Peternakan Telur Sejahtera</v>
      </c>
      <c r="B78" s="9" t="str">
        <f ca="1">IFERROR(__xludf.DUMMYFUNCTION("""COMPUTED_VALUE"""),"5-3205")</f>
        <v>5-3205</v>
      </c>
      <c r="C78" s="14" t="str">
        <f ca="1">IFERROR(__xludf.DUMMYFUNCTION("IF(B78="""","""",IFERROR(INDEX(FILTER(INDEX(SaldoAwal,0,6),(TRIM(TO_TEXT(INDEX(SaldoAwal,0,1)))=TRIM(TO_TEXT(B78)))+(TRIM(TO_TEXT(INDEX(SaldoAwal,0,2)))=TRIM(TO_TEXT(B78)))+(TRIM(TO_TEXT(INDEX(SaldoAwal,0,3)))=TRIM(TO_TEXT(B78)))+(TRIM(TO_TEXT(INDEX(Saldo"&amp;"Awal,0,4)))=TRIM(TO_TEXT(B78)))+(TRIM(TO_TEXT(INDEX(SaldoAwal,0,5)))=TRIM(TO_TEXT(B78)))),1),""CEK NAMA AKUN""))"),"Beban Lain-lain Non-Operasional")</f>
        <v>Beban Lain-lain Non-Operasional</v>
      </c>
      <c r="D78" s="15">
        <f t="array" aca="1" ref="D78" ca="1">IF(B78="","",IFERROR(SUMIF(INDEX(RekapSaldoAwal,0,1),$B78,INDEX(RekapSaldoAwal,0,3)),0))</f>
        <v>0</v>
      </c>
      <c r="E78" s="15">
        <f t="array" aca="1" ref="E78" ca="1">IF(B78="","",IFERROR(SUMIF(INDEX(RekapSaldoAwal,0,1),$B78,INDEX(RekapSaldoAwal,0,4)),0))</f>
        <v>0</v>
      </c>
      <c r="F78" s="15">
        <f t="array" aca="1" ref="F78" ca="1">IFERROR(SUMIFS(INDEX(RekapJurnalUnit1,0,4),INDEX(RekapJurnalUnit1,0,1),$A78,INDEX(RekapJurnalUnit1,0,2),$B78),0)</f>
        <v>0</v>
      </c>
      <c r="G78" s="15">
        <f t="array" aca="1" ref="G78" ca="1">IFERROR(SUMIFS(INDEX(RekapJurnalUnit1,0,5),INDEX(RekapJurnalUnit1,0,1),$A78,INDEX(RekapJurnalUnit1,0,2),$B78),0)</f>
        <v>0</v>
      </c>
      <c r="H78" s="15">
        <f t="shared" ca="1" si="0"/>
        <v>0</v>
      </c>
      <c r="I78" s="15">
        <f t="shared" ca="1" si="1"/>
        <v>0</v>
      </c>
      <c r="J78" s="15">
        <f t="array" aca="1" ref="J78" ca="1">IFERROR(SUMIFS(INDEX(RekapPenyesuaianUnit1,0,4),INDEX(RekapPenyesuaianUnit1,0,1),$A78,INDEX(RekapPenyesuaianUnit1,0,2),$B78),0)</f>
        <v>0</v>
      </c>
      <c r="K78" s="15">
        <f t="array" aca="1" ref="K78" ca="1">IFERROR(SUMIFS(INDEX(RekapPenyesuaianUnit1,0,5),INDEX(RekapPenyesuaianUnit1,0,1),$A78,INDEX(RekapPenyesuaianUnit1,0,2),$B78),0)</f>
        <v>0</v>
      </c>
      <c r="L78" s="15">
        <f t="shared" ca="1" si="2"/>
        <v>0</v>
      </c>
      <c r="M78" s="15">
        <f t="shared" ca="1" si="3"/>
        <v>0</v>
      </c>
      <c r="N78" s="15">
        <f t="shared" ca="1" si="13"/>
        <v>0</v>
      </c>
      <c r="O78" s="15">
        <f t="shared" ca="1" si="13"/>
        <v>0</v>
      </c>
      <c r="P78" s="15">
        <f t="shared" ca="1" si="14"/>
        <v>0</v>
      </c>
      <c r="Q78" s="15">
        <f t="shared" ca="1" si="14"/>
        <v>0</v>
      </c>
    </row>
    <row r="79" spans="1:17" x14ac:dyDescent="0.2">
      <c r="A79" s="9"/>
      <c r="B79" s="9" t="str">
        <f ca="1">IFERROR(__xludf.DUMMYFUNCTION("""COMPUTED_VALUE"""),"Kode Akun")</f>
        <v>Kode Akun</v>
      </c>
      <c r="C79" s="14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spans="1:17" x14ac:dyDescent="0.2">
      <c r="A80" s="9"/>
      <c r="B80" s="9"/>
      <c r="C80" s="14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spans="1:17" x14ac:dyDescent="0.2">
      <c r="A81" s="9"/>
      <c r="B81" s="9"/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 spans="1:17" x14ac:dyDescent="0.2">
      <c r="A82" s="9"/>
      <c r="B82" s="9"/>
      <c r="C82" s="14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spans="1:17" x14ac:dyDescent="0.2">
      <c r="A83" s="9"/>
      <c r="B83" s="9"/>
      <c r="C83" s="14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spans="1:17" x14ac:dyDescent="0.2">
      <c r="A84" s="9"/>
      <c r="B84" s="9"/>
      <c r="C84" s="14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spans="1:17" x14ac:dyDescent="0.2">
      <c r="A85" s="9"/>
      <c r="B85" s="9"/>
      <c r="C85" s="14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spans="1:17" x14ac:dyDescent="0.2">
      <c r="A86" s="9"/>
      <c r="B86" s="9"/>
      <c r="C86" s="14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spans="1:17" x14ac:dyDescent="0.2">
      <c r="A87" s="9"/>
      <c r="B87" s="9"/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spans="1:17" x14ac:dyDescent="0.2">
      <c r="A88" s="9"/>
      <c r="B88" s="9"/>
      <c r="C88" s="14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spans="1:17" x14ac:dyDescent="0.2">
      <c r="A89" s="9"/>
      <c r="B89" s="9"/>
      <c r="C89" s="14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spans="1:17" x14ac:dyDescent="0.2">
      <c r="A90" s="9"/>
      <c r="B90" s="9"/>
      <c r="C90" s="1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spans="1:17" x14ac:dyDescent="0.2">
      <c r="A91" s="9"/>
      <c r="B91" s="9"/>
      <c r="C91" s="14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spans="1:17" x14ac:dyDescent="0.2">
      <c r="A92" s="9"/>
      <c r="B92" s="9"/>
      <c r="C92" s="14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spans="1:17" x14ac:dyDescent="0.2">
      <c r="A93" s="9"/>
      <c r="B93" s="9"/>
      <c r="C93" s="14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spans="1:17" x14ac:dyDescent="0.2">
      <c r="A94" s="9"/>
      <c r="B94" s="9"/>
      <c r="C94" s="14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spans="1:17" x14ac:dyDescent="0.2">
      <c r="A95" s="9"/>
      <c r="B95" s="9"/>
      <c r="C95" s="1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spans="1:17" x14ac:dyDescent="0.2">
      <c r="A96" s="9"/>
      <c r="B96" s="9"/>
      <c r="C96" s="14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spans="1:17" x14ac:dyDescent="0.2">
      <c r="A97" s="9"/>
      <c r="B97" s="9"/>
      <c r="C97" s="14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16"/>
      <c r="B98" s="16"/>
      <c r="C98" s="17"/>
      <c r="D98" s="18">
        <f t="shared" ref="D98:Q98" ca="1" si="16">SUM(D7:D97)</f>
        <v>0</v>
      </c>
      <c r="E98" s="18">
        <f t="shared" ca="1" si="16"/>
        <v>855821000</v>
      </c>
      <c r="F98" s="18">
        <f t="shared" ca="1" si="16"/>
        <v>85275000</v>
      </c>
      <c r="G98" s="18">
        <f t="shared" ca="1" si="16"/>
        <v>54000000</v>
      </c>
      <c r="H98" s="18">
        <f t="shared" ca="1" si="16"/>
        <v>60275000</v>
      </c>
      <c r="I98" s="18">
        <f t="shared" ca="1" si="16"/>
        <v>884821000</v>
      </c>
      <c r="J98" s="18">
        <f t="shared" ca="1" si="16"/>
        <v>510416</v>
      </c>
      <c r="K98" s="18">
        <f t="shared" ca="1" si="16"/>
        <v>7010416</v>
      </c>
      <c r="L98" s="18">
        <f t="shared" ca="1" si="16"/>
        <v>54077083</v>
      </c>
      <c r="M98" s="18">
        <f t="shared" ca="1" si="16"/>
        <v>885123083</v>
      </c>
      <c r="N98" s="18">
        <f t="shared" ca="1" si="16"/>
        <v>51360416</v>
      </c>
      <c r="O98" s="18">
        <f t="shared" ca="1" si="16"/>
        <v>29000000</v>
      </c>
      <c r="P98" s="18">
        <f t="shared" ca="1" si="16"/>
        <v>0</v>
      </c>
      <c r="Q98" s="18">
        <f t="shared" ca="1" si="16"/>
        <v>0</v>
      </c>
    </row>
    <row r="99" spans="1:17" x14ac:dyDescent="0.2">
      <c r="A99" s="1"/>
      <c r="B99" s="1"/>
      <c r="D99" s="19"/>
      <c r="E99" s="19"/>
      <c r="F99" s="19"/>
      <c r="G99" s="19"/>
      <c r="H99" s="19"/>
      <c r="I99" s="19"/>
      <c r="J99" s="20"/>
      <c r="K99" s="20"/>
      <c r="L99" s="20"/>
      <c r="M99" s="20"/>
      <c r="N99" s="20"/>
      <c r="O99" s="21">
        <f ca="1">N98-O98</f>
        <v>22360416</v>
      </c>
      <c r="P99" s="21">
        <f ca="1">Q98-P98</f>
        <v>0</v>
      </c>
      <c r="Q99" s="20"/>
    </row>
  </sheetData>
  <mergeCells count="10">
    <mergeCell ref="J4:K4"/>
    <mergeCell ref="L4:M4"/>
    <mergeCell ref="N4:O4"/>
    <mergeCell ref="P4:Q4"/>
    <mergeCell ref="A4:A5"/>
    <mergeCell ref="B4:B5"/>
    <mergeCell ref="C4:C5"/>
    <mergeCell ref="D4:E4"/>
    <mergeCell ref="F4:G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2026-06-16T08:41:30Z</dcterms:created>
  <dcterms:modified xsi:type="dcterms:W3CDTF">2026-06-16T08:41:37Z</dcterms:modified>
</cp:coreProperties>
</file>