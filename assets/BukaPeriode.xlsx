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13_ncr:1_{1C473AC0-854F-524F-8570-781AC6F10736}" xr6:coauthVersionLast="47" xr6:coauthVersionMax="47" xr10:uidLastSave="{00000000-0000-0000-0000-000000000000}"/>
  <bookViews>
    <workbookView xWindow="0" yWindow="0" windowWidth="28800" windowHeight="18000" xr2:uid="{B9D686F5-30E8-ED44-844D-F14272C4B152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1" l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O55" i="1"/>
  <c r="E55" i="1"/>
  <c r="D55" i="1"/>
  <c r="C55" i="1"/>
  <c r="B55" i="1"/>
  <c r="A55" i="1"/>
  <c r="E54" i="1"/>
  <c r="D54" i="1"/>
  <c r="C54" i="1"/>
  <c r="B54" i="1"/>
  <c r="A54" i="1"/>
  <c r="E53" i="1"/>
  <c r="D53" i="1"/>
  <c r="C53" i="1"/>
  <c r="B53" i="1"/>
  <c r="A53" i="1"/>
  <c r="E52" i="1"/>
  <c r="D52" i="1"/>
  <c r="C52" i="1"/>
  <c r="B52" i="1"/>
  <c r="A52" i="1"/>
  <c r="P51" i="1"/>
  <c r="E51" i="1"/>
  <c r="D51" i="1"/>
  <c r="C51" i="1"/>
  <c r="B51" i="1"/>
  <c r="A51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P46" i="1"/>
  <c r="E46" i="1"/>
  <c r="D46" i="1"/>
  <c r="C46" i="1"/>
  <c r="B46" i="1"/>
  <c r="A46" i="1"/>
  <c r="O45" i="1"/>
  <c r="O100" i="1" s="1"/>
  <c r="E45" i="1"/>
  <c r="D45" i="1"/>
  <c r="C45" i="1"/>
  <c r="B45" i="1"/>
  <c r="A45" i="1"/>
  <c r="L44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K41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Q38" i="1"/>
  <c r="E38" i="1"/>
  <c r="D38" i="1"/>
  <c r="C38" i="1"/>
  <c r="B38" i="1"/>
  <c r="A38" i="1"/>
  <c r="Q37" i="1"/>
  <c r="E37" i="1"/>
  <c r="D37" i="1"/>
  <c r="C37" i="1"/>
  <c r="B37" i="1"/>
  <c r="A37" i="1"/>
  <c r="Q36" i="1"/>
  <c r="E36" i="1"/>
  <c r="D36" i="1"/>
  <c r="C36" i="1"/>
  <c r="B36" i="1"/>
  <c r="A36" i="1"/>
  <c r="P35" i="1"/>
  <c r="E35" i="1"/>
  <c r="D35" i="1"/>
  <c r="C35" i="1"/>
  <c r="B35" i="1"/>
  <c r="A35" i="1"/>
  <c r="E34" i="1"/>
  <c r="D34" i="1"/>
  <c r="C34" i="1"/>
  <c r="B34" i="1"/>
  <c r="A34" i="1"/>
  <c r="E33" i="1"/>
  <c r="D33" i="1"/>
  <c r="C33" i="1"/>
  <c r="B33" i="1"/>
  <c r="A33" i="1"/>
  <c r="L32" i="1"/>
  <c r="E32" i="1"/>
  <c r="D32" i="1"/>
  <c r="C32" i="1"/>
  <c r="B32" i="1"/>
  <c r="A32" i="1"/>
  <c r="L31" i="1"/>
  <c r="E31" i="1"/>
  <c r="D31" i="1"/>
  <c r="C31" i="1"/>
  <c r="B31" i="1"/>
  <c r="A31" i="1"/>
  <c r="L30" i="1"/>
  <c r="K28" i="1" s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L24" i="1"/>
  <c r="E24" i="1"/>
  <c r="D24" i="1"/>
  <c r="C24" i="1"/>
  <c r="B24" i="1"/>
  <c r="A24" i="1"/>
  <c r="E23" i="1"/>
  <c r="D23" i="1"/>
  <c r="C23" i="1"/>
  <c r="B23" i="1"/>
  <c r="A23" i="1"/>
  <c r="M22" i="1"/>
  <c r="E22" i="1"/>
  <c r="D22" i="1"/>
  <c r="C22" i="1"/>
  <c r="B22" i="1"/>
  <c r="A22" i="1"/>
  <c r="M21" i="1"/>
  <c r="E21" i="1"/>
  <c r="D21" i="1"/>
  <c r="C21" i="1"/>
  <c r="B21" i="1"/>
  <c r="A21" i="1"/>
  <c r="L20" i="1"/>
  <c r="E20" i="1"/>
  <c r="D20" i="1"/>
  <c r="C20" i="1"/>
  <c r="B20" i="1"/>
  <c r="A20" i="1"/>
  <c r="E19" i="1"/>
  <c r="D19" i="1"/>
  <c r="C19" i="1"/>
  <c r="B19" i="1"/>
  <c r="A19" i="1"/>
  <c r="M18" i="1"/>
  <c r="E18" i="1"/>
  <c r="D18" i="1"/>
  <c r="C18" i="1"/>
  <c r="B18" i="1"/>
  <c r="A18" i="1"/>
  <c r="L17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M13" i="1"/>
  <c r="L11" i="1" s="1"/>
  <c r="K10" i="1" s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J9" i="1" l="1"/>
  <c r="J100" i="1" s="1"/>
</calcChain>
</file>

<file path=xl/sharedStrings.xml><?xml version="1.0" encoding="utf-8"?>
<sst xmlns="http://schemas.openxmlformats.org/spreadsheetml/2006/main" count="284" uniqueCount="108">
  <si>
    <t>BUMDES MAJU SEJAHTERA MANDIRI</t>
  </si>
  <si>
    <t>SALDO AWAL</t>
  </si>
  <si>
    <t>PERIODE 1 JANUARI 2026</t>
  </si>
  <si>
    <t>Buka Periode</t>
  </si>
  <si>
    <t>Kode Akun</t>
  </si>
  <si>
    <t>Nama Akun</t>
  </si>
  <si>
    <t>Kelompok</t>
  </si>
  <si>
    <t>Status Akun</t>
  </si>
  <si>
    <t>Level Akun</t>
  </si>
  <si>
    <t>Debit</t>
  </si>
  <si>
    <t>Kredit</t>
  </si>
  <si>
    <t>ASET</t>
  </si>
  <si>
    <t>Aset</t>
  </si>
  <si>
    <t>Header</t>
  </si>
  <si>
    <t>Aset Lancar</t>
  </si>
  <si>
    <t>Kas dan Setara Kas</t>
  </si>
  <si>
    <t>Kas</t>
  </si>
  <si>
    <t>Detail</t>
  </si>
  <si>
    <t>Bank</t>
  </si>
  <si>
    <t>Bank BRI</t>
  </si>
  <si>
    <t>Bank Jatim</t>
  </si>
  <si>
    <t>Bank Mandiri</t>
  </si>
  <si>
    <t>Piutang Usaha</t>
  </si>
  <si>
    <t>Penyisihan Piutang Tak Tertagih</t>
  </si>
  <si>
    <t>Persediaan</t>
  </si>
  <si>
    <t>Persediaan Barang Dagangan</t>
  </si>
  <si>
    <t>Persediaan Barang Jadi</t>
  </si>
  <si>
    <t>Persediaan Lainnya</t>
  </si>
  <si>
    <t>Aset Lancar Non-Persediaan</t>
  </si>
  <si>
    <t>Perlengkapan</t>
  </si>
  <si>
    <t>Biaya Dibayar di Muka</t>
  </si>
  <si>
    <t>Aset Lancar Lainnya</t>
  </si>
  <si>
    <t>Aset Tetap</t>
  </si>
  <si>
    <t>Tanah</t>
  </si>
  <si>
    <t>Bangunan</t>
  </si>
  <si>
    <t>Kendaraan</t>
  </si>
  <si>
    <t>Peralatan dan Mesin</t>
  </si>
  <si>
    <t>Meubelair/Inventaris</t>
  </si>
  <si>
    <t>Aset Tetap Lainnya</t>
  </si>
  <si>
    <t>Akumulasi Penyusutan Aset Tetap</t>
  </si>
  <si>
    <t>Akumulasi Penyusutan Bangunan</t>
  </si>
  <si>
    <t>Akumulasi Penyusutan Kendaraan</t>
  </si>
  <si>
    <t>Akumulasi Penyusutan Peralatan dan Mesin</t>
  </si>
  <si>
    <t>Akumulasi Penyusutan Meubelair/Inventaris</t>
  </si>
  <si>
    <t>Akumulasi Penyusutan Aset Tetap Lainnya</t>
  </si>
  <si>
    <t>Aset Lainnya</t>
  </si>
  <si>
    <t>Investasi Jangka Panjang</t>
  </si>
  <si>
    <t>Aset Tak Berwujud</t>
  </si>
  <si>
    <t>Akumulasi Amortisasi Aset Tak Berwujud</t>
  </si>
  <si>
    <t>KEWAJIBAN</t>
  </si>
  <si>
    <t>Kewajiban</t>
  </si>
  <si>
    <t>Utang Usaha</t>
  </si>
  <si>
    <t>Utang Gaji/Upah</t>
  </si>
  <si>
    <t>Utang Pajak</t>
  </si>
  <si>
    <t>Utang Utilitas</t>
  </si>
  <si>
    <t>Utang Jangka Pendek Lainnya</t>
  </si>
  <si>
    <t>Kewajiban Jangka Panjang</t>
  </si>
  <si>
    <t>Utang Bank Jangka Panjang</t>
  </si>
  <si>
    <t>Utang Pihak Ketiga Jangka Panjang</t>
  </si>
  <si>
    <t>Utang Jangka Panjang Lainnya</t>
  </si>
  <si>
    <t>EKUITAS</t>
  </si>
  <si>
    <t>Ekuitas</t>
  </si>
  <si>
    <t>Penyertaan Modal Desa</t>
  </si>
  <si>
    <t>Penyertaan Modal Masyarakat</t>
  </si>
  <si>
    <t>Penyertaan Modal Bantuan Pemerintah/BKK</t>
  </si>
  <si>
    <t>Tambahan Penyertaan Modal</t>
  </si>
  <si>
    <t>Laba Ditahan</t>
  </si>
  <si>
    <t>Laba/Rugi Tahun Berjalan</t>
  </si>
  <si>
    <t>Bagi Hasil untuk Desa</t>
  </si>
  <si>
    <t>Bagi Hasil untuk Masyarakat</t>
  </si>
  <si>
    <t>Ekuitas Lainnya</t>
  </si>
  <si>
    <t>PENDAPATAN USAHA</t>
  </si>
  <si>
    <t>Pendapatan</t>
  </si>
  <si>
    <t>Pendapatan Penjualan Barang Dagangan</t>
  </si>
  <si>
    <t>Pendapatan Penjualan Hasil Produksi</t>
  </si>
  <si>
    <t>Pendapatan Jasa</t>
  </si>
  <si>
    <t>Pendapatan Sewa</t>
  </si>
  <si>
    <t>Pendapatan Denda</t>
  </si>
  <si>
    <t>Pendapatan Operasional Lainnya</t>
  </si>
  <si>
    <t>Pendapatan Non-Operasional</t>
  </si>
  <si>
    <t>Pendapatan Bunga Bank</t>
  </si>
  <si>
    <t>Laba Penjualan Aset Tetap</t>
  </si>
  <si>
    <t>Pendapatan Lain-lain Non-Operasional</t>
  </si>
  <si>
    <t>HARGA POKOK PENJUALAN</t>
  </si>
  <si>
    <t>Beban/HPP</t>
  </si>
  <si>
    <t>HPP Barang Dagangan</t>
  </si>
  <si>
    <t>HPP Barang Jadi / Hasil Produksi</t>
  </si>
  <si>
    <t>BEBAN - BEBAN</t>
  </si>
  <si>
    <t>Beban Produksi Langsung</t>
  </si>
  <si>
    <t>Beban Operasional</t>
  </si>
  <si>
    <t>Beban Operasional Peternakan Ayam Petelur</t>
  </si>
  <si>
    <t>Beban Operasional Minimarket Desa Mart</t>
  </si>
  <si>
    <t>Beban Operasional Layanan Jasa Desa Prima</t>
  </si>
  <si>
    <t>Beban Pegawai</t>
  </si>
  <si>
    <t>Beban Administrasi dan Umum</t>
  </si>
  <si>
    <t>Beban Utilitas</t>
  </si>
  <si>
    <t>Beban Pemeliharaan dan Perbaikan</t>
  </si>
  <si>
    <t>Beban Perlengkapan</t>
  </si>
  <si>
    <t>Beban Sewa dan Asuransi</t>
  </si>
  <si>
    <t>Beban Penyusutan</t>
  </si>
  <si>
    <t>Beban Pajak</t>
  </si>
  <si>
    <t>Beban Operasional Lainnya</t>
  </si>
  <si>
    <t>Beban Non-Operasional</t>
  </si>
  <si>
    <t>Beban Bank</t>
  </si>
  <si>
    <t>Beban Bunga</t>
  </si>
  <si>
    <t>Beban Denda</t>
  </si>
  <si>
    <t>Rugi Penjualan Aset Tetap</t>
  </si>
  <si>
    <t>Beban Lain-lain Non-Operasional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</si>
</sst>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]#,##0"/>
    <numFmt numFmtId="165" formatCode="dd/mm/yyyy"/>
    <numFmt numFmtId="166" formatCode="m\-yyyy"/>
  </numFmts>
  <fonts count="11">
    <font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4A86E8"/>
      <name val="Arial"/>
      <family val="2"/>
    </font>
    <font>
      <b/>
      <sz val="11"/>
      <color rgb="FF000000"/>
      <name val="Carlito"/>
    </font>
    <font>
      <sz val="10"/>
      <name val="Arial"/>
      <family val="2"/>
    </font>
    <font>
      <b/>
      <sz val="10"/>
      <color theme="1"/>
      <name val="Arial"/>
      <family val="2"/>
    </font>
    <font>
      <i/>
      <sz val="8"/>
      <color rgb="FF000000"/>
      <name val="Carlito"/>
    </font>
    <font>
      <b/>
      <sz val="10"/>
      <color theme="1"/>
      <name val="Calibri"/>
      <family val="2"/>
      <scheme val="minor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000000"/>
      </right>
      <top style="thin">
        <color rgb="FFB7B7B7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" fontId="3" fillId="0" borderId="0" xfId="0" applyNumberFormat="1" applyFont="1"/>
    <xf numFmtId="165" fontId="4" fillId="0" borderId="0" xfId="0" applyNumberFormat="1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3" fontId="8" fillId="0" borderId="8" xfId="0" applyNumberFormat="1" applyFont="1" applyBorder="1" applyAlignment="1">
      <alignment horizontal="center" vertical="center"/>
    </xf>
    <xf numFmtId="0" fontId="6" fillId="0" borderId="9" xfId="0" applyFont="1" applyBorder="1"/>
    <xf numFmtId="3" fontId="8" fillId="0" borderId="10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166" fontId="5" fillId="0" borderId="8" xfId="0" applyNumberFormat="1" applyFont="1" applyBorder="1"/>
    <xf numFmtId="0" fontId="10" fillId="0" borderId="8" xfId="0" applyFont="1" applyBorder="1"/>
    <xf numFmtId="166" fontId="10" fillId="0" borderId="8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3" xfId="0" applyFont="1" applyBorder="1"/>
    <xf numFmtId="0" fontId="10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0" fillId="2" borderId="0" xfId="0" applyFill="1"/>
    <xf numFmtId="164" fontId="9" fillId="2" borderId="16" xfId="0" applyNumberFormat="1" applyFont="1" applyFill="1" applyBorder="1"/>
    <xf numFmtId="164" fontId="9" fillId="2" borderId="14" xfId="0" applyNumberFormat="1" applyFont="1" applyFill="1" applyBorder="1"/>
    <xf numFmtId="164" fontId="9" fillId="2" borderId="15" xfId="0" applyNumberFormat="1" applyFont="1" applyFill="1" applyBorder="1"/>
    <xf numFmtId="164" fontId="9" fillId="2" borderId="13" xfId="0" applyNumberFormat="1" applyFont="1" applyFill="1" applyBorder="1"/>
    <xf numFmtId="164" fontId="2" fillId="2" borderId="16" xfId="0" applyNumberFormat="1" applyFont="1" applyFill="1" applyBorder="1"/>
    <xf numFmtId="164" fontId="2" fillId="2" borderId="14" xfId="0" applyNumberFormat="1" applyFont="1" applyFill="1" applyBorder="1"/>
    <xf numFmtId="164" fontId="2" fillId="2" borderId="15" xfId="0" applyNumberFormat="1" applyFont="1" applyFill="1" applyBorder="1"/>
    <xf numFmtId="164" fontId="2" fillId="2" borderId="13" xfId="0" applyNumberFormat="1" applyFont="1" applyFill="1" applyBorder="1"/>
    <xf numFmtId="164" fontId="3" fillId="2" borderId="16" xfId="0" applyNumberFormat="1" applyFont="1" applyFill="1" applyBorder="1"/>
    <xf numFmtId="164" fontId="3" fillId="2" borderId="14" xfId="0" applyNumberFormat="1" applyFont="1" applyFill="1" applyBorder="1"/>
    <xf numFmtId="164" fontId="3" fillId="2" borderId="15" xfId="0" applyNumberFormat="1" applyFont="1" applyFill="1" applyBorder="1"/>
    <xf numFmtId="164" fontId="3" fillId="2" borderId="13" xfId="0" applyNumberFormat="1" applyFont="1" applyFill="1" applyBorder="1"/>
    <xf numFmtId="164" fontId="7" fillId="2" borderId="16" xfId="0" applyNumberFormat="1" applyFont="1" applyFill="1" applyBorder="1"/>
    <xf numFmtId="164" fontId="7" fillId="2" borderId="14" xfId="0" applyNumberFormat="1" applyFont="1" applyFill="1" applyBorder="1"/>
    <xf numFmtId="164" fontId="7" fillId="2" borderId="15" xfId="0" applyNumberFormat="1" applyFont="1" applyFill="1" applyBorder="1"/>
    <xf numFmtId="164" fontId="7" fillId="2" borderId="13" xfId="0" applyNumberFormat="1" applyFont="1" applyFill="1" applyBorder="1"/>
    <xf numFmtId="0" fontId="9" fillId="2" borderId="0" xfId="0" applyFont="1" applyFill="1"/>
    <xf numFmtId="0" fontId="0" fillId="2" borderId="0" xfId="0" applyFill="1"/>
    <xf numFmtId="164" fontId="2" fillId="2" borderId="17" xfId="0" applyNumberFormat="1" applyFont="1" applyFill="1" applyBorder="1"/>
    <xf numFmtId="164" fontId="2" fillId="2" borderId="18" xfId="0" applyNumberFormat="1" applyFont="1" applyFill="1" applyBorder="1"/>
    <xf numFmtId="164" fontId="2" fillId="2" borderId="19" xfId="0" applyNumberFormat="1" applyFont="1" applyFill="1" applyBorder="1"/>
    <xf numFmtId="164" fontId="2" fillId="2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UDAYA.xlsx" TargetMode="External"/><Relationship Id="rId2" Type="http://schemas.openxmlformats.org/officeDocument/2006/relationships/externalLinkPath" Target="/Users/luqmanaffandi/Downloads/BUDAYA.xlsx" TargetMode="External"/><Relationship Id="rId1" Type="http://schemas.openxmlformats.org/officeDocument/2006/relationships/externalLinkPath" Target="/Users/luqmanaffandi/Downloads/BUDAY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>
        <row r="10">
          <cell r="F10">
            <v>260000</v>
          </cell>
          <cell r="W10">
            <v>310000</v>
          </cell>
          <cell r="AO10">
            <v>360000</v>
          </cell>
        </row>
        <row r="18">
          <cell r="G18">
            <v>650000</v>
          </cell>
          <cell r="X18">
            <v>700000</v>
          </cell>
          <cell r="AP18">
            <v>750000</v>
          </cell>
        </row>
        <row r="26">
          <cell r="H26">
            <v>185000</v>
          </cell>
        </row>
        <row r="27">
          <cell r="Z27">
            <v>2056000</v>
          </cell>
        </row>
        <row r="35">
          <cell r="H35">
            <v>54000000</v>
          </cell>
          <cell r="J35">
            <v>2475000</v>
          </cell>
        </row>
        <row r="36">
          <cell r="H36">
            <v>17000000</v>
          </cell>
          <cell r="J36">
            <v>1947916.6666666667</v>
          </cell>
          <cell r="X36">
            <v>130000000</v>
          </cell>
          <cell r="AP36">
            <v>44650000</v>
          </cell>
          <cell r="AR36">
            <v>1746875</v>
          </cell>
        </row>
        <row r="37">
          <cell r="H37">
            <v>169000000</v>
          </cell>
          <cell r="J37">
            <v>19364583.333333332</v>
          </cell>
        </row>
        <row r="38">
          <cell r="X38">
            <v>13000000</v>
          </cell>
        </row>
      </sheetData>
      <sheetData sheetId="4">
        <row r="3">
          <cell r="A3" t="str">
            <v>1-0000</v>
          </cell>
        </row>
        <row r="4">
          <cell r="B4" t="str">
            <v>1-1000</v>
          </cell>
        </row>
        <row r="5">
          <cell r="C5" t="str">
            <v>1-1100</v>
          </cell>
        </row>
        <row r="6">
          <cell r="D6" t="str">
            <v>1-1110</v>
          </cell>
        </row>
        <row r="7">
          <cell r="D7" t="str">
            <v>1-1200</v>
          </cell>
        </row>
        <row r="8">
          <cell r="E8" t="str">
            <v>1-1210</v>
          </cell>
        </row>
        <row r="9">
          <cell r="E9" t="str">
            <v>1-1211</v>
          </cell>
        </row>
        <row r="10">
          <cell r="E10" t="str">
            <v>1-1212</v>
          </cell>
        </row>
        <row r="11">
          <cell r="C11" t="str">
            <v>1-1300</v>
          </cell>
        </row>
        <row r="12">
          <cell r="D12" t="str">
            <v>1-1310</v>
          </cell>
        </row>
        <row r="13">
          <cell r="D13" t="str">
            <v>1-1320</v>
          </cell>
        </row>
        <row r="14">
          <cell r="C14" t="str">
            <v>1-1400</v>
          </cell>
        </row>
        <row r="15">
          <cell r="D15" t="str">
            <v>1-1410</v>
          </cell>
        </row>
        <row r="16">
          <cell r="D16" t="str">
            <v>1-1420</v>
          </cell>
        </row>
        <row r="17">
          <cell r="D17" t="str">
            <v>1-1440</v>
          </cell>
        </row>
        <row r="18">
          <cell r="C18" t="str">
            <v>1-1500</v>
          </cell>
        </row>
        <row r="19">
          <cell r="D19" t="str">
            <v>1-1510</v>
          </cell>
        </row>
        <row r="20">
          <cell r="D20" t="str">
            <v>1-1520</v>
          </cell>
        </row>
        <row r="21">
          <cell r="C21" t="str">
            <v>1-1530</v>
          </cell>
        </row>
        <row r="22">
          <cell r="B22">
            <v>36526</v>
          </cell>
        </row>
        <row r="23">
          <cell r="C23">
            <v>40179</v>
          </cell>
        </row>
        <row r="24">
          <cell r="C24">
            <v>43831</v>
          </cell>
        </row>
        <row r="25">
          <cell r="C25">
            <v>47484</v>
          </cell>
        </row>
        <row r="26">
          <cell r="C26">
            <v>51136</v>
          </cell>
        </row>
        <row r="27">
          <cell r="C27">
            <v>54789</v>
          </cell>
        </row>
        <row r="28">
          <cell r="C28">
            <v>58441</v>
          </cell>
        </row>
        <row r="29">
          <cell r="C29">
            <v>69399</v>
          </cell>
        </row>
        <row r="30">
          <cell r="D30">
            <v>69764</v>
          </cell>
        </row>
        <row r="31">
          <cell r="D31">
            <v>70129</v>
          </cell>
        </row>
        <row r="32">
          <cell r="D32">
            <v>70495</v>
          </cell>
        </row>
        <row r="33">
          <cell r="D33">
            <v>70860</v>
          </cell>
        </row>
        <row r="34">
          <cell r="D34">
            <v>71225</v>
          </cell>
        </row>
        <row r="35">
          <cell r="C35">
            <v>401769</v>
          </cell>
        </row>
        <row r="36">
          <cell r="D36">
            <v>405421</v>
          </cell>
        </row>
        <row r="37">
          <cell r="D37">
            <v>409073</v>
          </cell>
        </row>
        <row r="38">
          <cell r="D38">
            <v>434641</v>
          </cell>
        </row>
        <row r="39">
          <cell r="A39" t="str">
            <v>2-0000</v>
          </cell>
        </row>
        <row r="40">
          <cell r="B40" t="str">
            <v>2-0100</v>
          </cell>
        </row>
        <row r="41">
          <cell r="B41" t="str">
            <v>2-0200</v>
          </cell>
        </row>
        <row r="42">
          <cell r="B42" t="str">
            <v>2-0300</v>
          </cell>
        </row>
        <row r="43">
          <cell r="B43" t="str">
            <v>2-0400</v>
          </cell>
        </row>
        <row r="44">
          <cell r="B44" t="str">
            <v>2-0500</v>
          </cell>
        </row>
        <row r="45">
          <cell r="B45" t="str">
            <v>2-1000</v>
          </cell>
        </row>
        <row r="46">
          <cell r="C46" t="str">
            <v>2-1100</v>
          </cell>
        </row>
        <row r="47">
          <cell r="C47" t="str">
            <v>2-1200</v>
          </cell>
        </row>
        <row r="48">
          <cell r="C48" t="str">
            <v>2-1300</v>
          </cell>
        </row>
        <row r="49">
          <cell r="A49" t="str">
            <v>3-0000</v>
          </cell>
        </row>
        <row r="50">
          <cell r="B50" t="str">
            <v>3-1100</v>
          </cell>
        </row>
        <row r="51">
          <cell r="B51" t="str">
            <v>3-1200</v>
          </cell>
        </row>
        <row r="52">
          <cell r="B52" t="str">
            <v>3-1300</v>
          </cell>
        </row>
        <row r="53">
          <cell r="B53" t="str">
            <v>3-1400</v>
          </cell>
        </row>
        <row r="54">
          <cell r="B54" t="str">
            <v>3-1500</v>
          </cell>
        </row>
        <row r="55">
          <cell r="B55" t="str">
            <v>3-1600</v>
          </cell>
        </row>
        <row r="56">
          <cell r="B56" t="str">
            <v>3-1700</v>
          </cell>
        </row>
        <row r="57">
          <cell r="B57" t="str">
            <v>3-1800</v>
          </cell>
        </row>
        <row r="58">
          <cell r="B58">
            <v>61</v>
          </cell>
        </row>
        <row r="59">
          <cell r="A59" t="str">
            <v>4-0000</v>
          </cell>
        </row>
        <row r="60">
          <cell r="B60" t="str">
            <v>4-1100</v>
          </cell>
        </row>
        <row r="61">
          <cell r="B61" t="str">
            <v>4-1200</v>
          </cell>
        </row>
        <row r="62">
          <cell r="B62" t="str">
            <v>4-1300</v>
          </cell>
        </row>
        <row r="63">
          <cell r="B63" t="str">
            <v>4-1400</v>
          </cell>
        </row>
        <row r="64">
          <cell r="B64" t="str">
            <v>4-1500</v>
          </cell>
        </row>
        <row r="65">
          <cell r="B65" t="str">
            <v>4-1600</v>
          </cell>
        </row>
        <row r="66">
          <cell r="B66">
            <v>36617</v>
          </cell>
        </row>
        <row r="67">
          <cell r="C67">
            <v>73141</v>
          </cell>
        </row>
        <row r="68">
          <cell r="C68">
            <v>109665</v>
          </cell>
        </row>
        <row r="69">
          <cell r="C69">
            <v>146189</v>
          </cell>
        </row>
        <row r="70">
          <cell r="A70" t="str">
            <v>5-1000</v>
          </cell>
        </row>
        <row r="71">
          <cell r="B71" t="str">
            <v>5-1100</v>
          </cell>
        </row>
        <row r="72">
          <cell r="B72" t="str">
            <v>5-1200</v>
          </cell>
        </row>
        <row r="73">
          <cell r="A73" t="str">
            <v>5-2000</v>
          </cell>
        </row>
        <row r="74">
          <cell r="B74" t="str">
            <v>5-2100</v>
          </cell>
        </row>
        <row r="75">
          <cell r="B75" t="str">
            <v>5-2200</v>
          </cell>
        </row>
        <row r="76">
          <cell r="C76" t="str">
            <v>5-2210</v>
          </cell>
        </row>
        <row r="77">
          <cell r="C77">
            <v>113712</v>
          </cell>
        </row>
        <row r="78">
          <cell r="C78" t="str">
            <v>5-2212</v>
          </cell>
        </row>
        <row r="79">
          <cell r="B79" t="str">
            <v>5-2300</v>
          </cell>
        </row>
        <row r="80">
          <cell r="B80" t="str">
            <v>5-2400</v>
          </cell>
        </row>
        <row r="81">
          <cell r="B81" t="str">
            <v>5-2500</v>
          </cell>
        </row>
        <row r="82">
          <cell r="B82" t="str">
            <v>5-2600</v>
          </cell>
        </row>
        <row r="83">
          <cell r="B83" t="str">
            <v>5-2700</v>
          </cell>
        </row>
        <row r="84">
          <cell r="B84" t="str">
            <v>5-2800</v>
          </cell>
        </row>
        <row r="85">
          <cell r="B85" t="str">
            <v>5-2900</v>
          </cell>
        </row>
        <row r="86">
          <cell r="B86" t="str">
            <v>5-3000</v>
          </cell>
        </row>
        <row r="87">
          <cell r="B87" t="str">
            <v>5-3100</v>
          </cell>
        </row>
        <row r="88">
          <cell r="B88" t="str">
            <v>5-3200</v>
          </cell>
        </row>
        <row r="89">
          <cell r="C89" t="str">
            <v>5-3201</v>
          </cell>
        </row>
        <row r="90">
          <cell r="C90" t="str">
            <v>5-3202</v>
          </cell>
        </row>
        <row r="91">
          <cell r="C91" t="str">
            <v>5-3203</v>
          </cell>
        </row>
        <row r="92">
          <cell r="C92" t="str">
            <v>5-3204</v>
          </cell>
        </row>
        <row r="93">
          <cell r="C93" t="str">
            <v>5-3205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BCBF-41CC-1241-97E7-E612948EAF49}">
  <dimension ref="A1:S100"/>
  <sheetViews>
    <sheetView tabSelected="1" workbookViewId="0">
      <selection activeCell="J9" sqref="J9:S99"/>
    </sheetView>
  </sheetViews>
  <sheetFormatPr baseColWidth="10" defaultRowHeight="16"/>
  <sheetData>
    <row r="1" spans="1:19" ht="17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7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7">
      <c r="A3" s="1" t="s">
        <v>2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/>
      <c r="B4" s="5"/>
      <c r="C4" s="5"/>
      <c r="D4" s="5"/>
      <c r="E4" s="6"/>
      <c r="I4" s="7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4" t="s">
        <v>3</v>
      </c>
      <c r="B5" s="5"/>
      <c r="C5" s="5"/>
      <c r="D5" s="5"/>
      <c r="E5" s="40">
        <v>46023</v>
      </c>
      <c r="F5" s="41"/>
      <c r="G5" s="41"/>
      <c r="H5" s="8"/>
      <c r="I5" s="7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9"/>
      <c r="B6" s="9"/>
      <c r="C6" s="9"/>
      <c r="D6" s="9"/>
      <c r="E6" s="9"/>
      <c r="F6" s="9"/>
      <c r="G6" s="9"/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>
      <c r="A7" s="12" t="s">
        <v>4</v>
      </c>
      <c r="B7" s="13"/>
      <c r="C7" s="13"/>
      <c r="D7" s="13"/>
      <c r="E7" s="14"/>
      <c r="F7" s="15" t="s">
        <v>5</v>
      </c>
      <c r="G7" s="15" t="s">
        <v>6</v>
      </c>
      <c r="H7" s="15" t="s">
        <v>7</v>
      </c>
      <c r="I7" s="15" t="s">
        <v>8</v>
      </c>
      <c r="J7" s="16" t="s">
        <v>9</v>
      </c>
      <c r="K7" s="17"/>
      <c r="L7" s="17"/>
      <c r="M7" s="17"/>
      <c r="N7" s="18"/>
      <c r="O7" s="16" t="s">
        <v>10</v>
      </c>
      <c r="P7" s="17"/>
      <c r="Q7" s="17"/>
      <c r="R7" s="17"/>
      <c r="S7" s="18"/>
    </row>
    <row r="8" spans="1:19">
      <c r="A8" s="19">
        <v>1</v>
      </c>
      <c r="B8" s="19">
        <v>2</v>
      </c>
      <c r="C8" s="19">
        <v>3</v>
      </c>
      <c r="D8" s="19">
        <v>4</v>
      </c>
      <c r="E8" s="19">
        <v>5</v>
      </c>
      <c r="F8" s="20"/>
      <c r="G8" s="20"/>
      <c r="H8" s="20"/>
      <c r="I8" s="20"/>
      <c r="J8" s="21">
        <v>1</v>
      </c>
      <c r="K8" s="22">
        <v>2</v>
      </c>
      <c r="L8" s="22">
        <v>3</v>
      </c>
      <c r="M8" s="22">
        <v>4</v>
      </c>
      <c r="N8" s="23">
        <v>5</v>
      </c>
      <c r="O8" s="24">
        <v>1</v>
      </c>
      <c r="P8" s="25">
        <v>2</v>
      </c>
      <c r="Q8" s="25">
        <v>3</v>
      </c>
      <c r="R8" s="25">
        <v>4</v>
      </c>
      <c r="S8" s="26">
        <v>5</v>
      </c>
    </row>
    <row r="9" spans="1:19">
      <c r="A9" s="27" t="str">
        <f>[1]CoA!A3</f>
        <v>1-0000</v>
      </c>
      <c r="B9" s="27">
        <f>[1]CoA!B3</f>
        <v>0</v>
      </c>
      <c r="C9" s="27">
        <f>[1]CoA!C3</f>
        <v>0</v>
      </c>
      <c r="D9" s="27">
        <f>[1]CoA!D3</f>
        <v>0</v>
      </c>
      <c r="E9" s="27">
        <f>[1]CoA!E3</f>
        <v>0</v>
      </c>
      <c r="F9" s="27" t="s">
        <v>11</v>
      </c>
      <c r="G9" s="27" t="s">
        <v>12</v>
      </c>
      <c r="H9" s="27" t="s">
        <v>13</v>
      </c>
      <c r="I9" s="28">
        <v>1</v>
      </c>
      <c r="J9" s="42">
        <f>K10+K28+P35+K41</f>
        <v>894355375</v>
      </c>
      <c r="K9" s="43"/>
      <c r="L9" s="43"/>
      <c r="M9" s="43"/>
      <c r="N9" s="44"/>
      <c r="O9" s="45"/>
      <c r="P9" s="43"/>
      <c r="Q9" s="43"/>
      <c r="R9" s="43"/>
      <c r="S9" s="44"/>
    </row>
    <row r="10" spans="1:19">
      <c r="A10" s="27">
        <f>[1]CoA!A4</f>
        <v>0</v>
      </c>
      <c r="B10" s="29" t="str">
        <f>[1]CoA!B4</f>
        <v>1-1000</v>
      </c>
      <c r="C10" s="27">
        <f>[1]CoA!C4</f>
        <v>0</v>
      </c>
      <c r="D10" s="27">
        <f>[1]CoA!D4</f>
        <v>0</v>
      </c>
      <c r="E10" s="27">
        <f>[1]CoA!E4</f>
        <v>0</v>
      </c>
      <c r="F10" s="27" t="s">
        <v>14</v>
      </c>
      <c r="G10" s="27" t="s">
        <v>12</v>
      </c>
      <c r="H10" s="27" t="s">
        <v>13</v>
      </c>
      <c r="I10" s="28">
        <v>2</v>
      </c>
      <c r="J10" s="42"/>
      <c r="K10" s="43">
        <f>L11+L17+L20+L24</f>
        <v>428171000</v>
      </c>
      <c r="L10" s="43"/>
      <c r="M10" s="43"/>
      <c r="N10" s="44"/>
      <c r="O10" s="45"/>
      <c r="P10" s="43"/>
      <c r="Q10" s="43"/>
      <c r="R10" s="43"/>
      <c r="S10" s="44"/>
    </row>
    <row r="11" spans="1:19">
      <c r="A11" s="29">
        <f>[1]CoA!A5</f>
        <v>0</v>
      </c>
      <c r="B11" s="27">
        <f>[1]CoA!B5</f>
        <v>0</v>
      </c>
      <c r="C11" s="29" t="str">
        <f>[1]CoA!C5</f>
        <v>1-1100</v>
      </c>
      <c r="D11" s="27">
        <f>[1]CoA!D5</f>
        <v>0</v>
      </c>
      <c r="E11" s="27">
        <f>[1]CoA!E5</f>
        <v>0</v>
      </c>
      <c r="F11" s="27" t="s">
        <v>15</v>
      </c>
      <c r="G11" s="27" t="s">
        <v>12</v>
      </c>
      <c r="H11" s="27" t="s">
        <v>13</v>
      </c>
      <c r="I11" s="28">
        <v>3</v>
      </c>
      <c r="J11" s="42"/>
      <c r="K11" s="43"/>
      <c r="L11" s="43">
        <f>M12+M13</f>
        <v>425000000</v>
      </c>
      <c r="M11" s="43"/>
      <c r="N11" s="44"/>
      <c r="O11" s="45"/>
      <c r="P11" s="43"/>
      <c r="Q11" s="43"/>
      <c r="R11" s="43"/>
      <c r="S11" s="44"/>
    </row>
    <row r="12" spans="1:19">
      <c r="A12" s="30">
        <f>[1]CoA!A6</f>
        <v>0</v>
      </c>
      <c r="B12" s="30">
        <f>[1]CoA!B6</f>
        <v>0</v>
      </c>
      <c r="C12" s="30">
        <f>[1]CoA!C6</f>
        <v>0</v>
      </c>
      <c r="D12" s="31" t="str">
        <f>[1]CoA!D6</f>
        <v>1-1110</v>
      </c>
      <c r="E12" s="30">
        <f>[1]CoA!E6</f>
        <v>0</v>
      </c>
      <c r="F12" s="30" t="s">
        <v>16</v>
      </c>
      <c r="G12" s="30" t="s">
        <v>12</v>
      </c>
      <c r="H12" s="30" t="s">
        <v>17</v>
      </c>
      <c r="I12" s="32">
        <v>4</v>
      </c>
      <c r="J12" s="46"/>
      <c r="K12" s="47"/>
      <c r="L12" s="47"/>
      <c r="M12" s="47">
        <v>50000000</v>
      </c>
      <c r="N12" s="48"/>
      <c r="O12" s="49"/>
      <c r="P12" s="47"/>
      <c r="Q12" s="47"/>
      <c r="R12" s="47"/>
      <c r="S12" s="48"/>
    </row>
    <row r="13" spans="1:19">
      <c r="A13" s="27">
        <f>[1]CoA!A7</f>
        <v>0</v>
      </c>
      <c r="B13" s="27">
        <f>[1]CoA!B7</f>
        <v>0</v>
      </c>
      <c r="C13" s="27">
        <f>[1]CoA!C7</f>
        <v>0</v>
      </c>
      <c r="D13" s="29" t="str">
        <f>[1]CoA!D7</f>
        <v>1-1200</v>
      </c>
      <c r="E13" s="27">
        <f>[1]CoA!E7</f>
        <v>0</v>
      </c>
      <c r="F13" s="27" t="s">
        <v>18</v>
      </c>
      <c r="G13" s="27" t="s">
        <v>12</v>
      </c>
      <c r="H13" s="27" t="s">
        <v>13</v>
      </c>
      <c r="I13" s="28">
        <v>4</v>
      </c>
      <c r="J13" s="42"/>
      <c r="K13" s="43"/>
      <c r="L13" s="43"/>
      <c r="M13" s="43">
        <f>SUM(N14:N16)</f>
        <v>375000000</v>
      </c>
      <c r="N13" s="44"/>
      <c r="O13" s="45"/>
      <c r="P13" s="43"/>
      <c r="Q13" s="43"/>
      <c r="R13" s="43"/>
      <c r="S13" s="44"/>
    </row>
    <row r="14" spans="1:19">
      <c r="A14" s="30">
        <f>[1]CoA!A8</f>
        <v>0</v>
      </c>
      <c r="B14" s="30">
        <f>[1]CoA!B8</f>
        <v>0</v>
      </c>
      <c r="C14" s="30">
        <f>[1]CoA!C8</f>
        <v>0</v>
      </c>
      <c r="D14" s="30">
        <f>[1]CoA!D8</f>
        <v>0</v>
      </c>
      <c r="E14" s="31" t="str">
        <f>[1]CoA!E8</f>
        <v>1-1210</v>
      </c>
      <c r="F14" s="30" t="s">
        <v>19</v>
      </c>
      <c r="G14" s="30" t="s">
        <v>12</v>
      </c>
      <c r="H14" s="30" t="s">
        <v>17</v>
      </c>
      <c r="I14" s="32">
        <v>5</v>
      </c>
      <c r="J14" s="46"/>
      <c r="K14" s="47"/>
      <c r="L14" s="47"/>
      <c r="M14" s="47"/>
      <c r="N14" s="48">
        <v>200000000</v>
      </c>
      <c r="O14" s="49"/>
      <c r="P14" s="47"/>
      <c r="Q14" s="47"/>
      <c r="R14" s="47"/>
      <c r="S14" s="48"/>
    </row>
    <row r="15" spans="1:19">
      <c r="A15" s="30">
        <f>[1]CoA!A9</f>
        <v>0</v>
      </c>
      <c r="B15" s="30">
        <f>[1]CoA!B9</f>
        <v>0</v>
      </c>
      <c r="C15" s="30">
        <f>[1]CoA!C9</f>
        <v>0</v>
      </c>
      <c r="D15" s="30">
        <f>[1]CoA!D9</f>
        <v>0</v>
      </c>
      <c r="E15" s="31" t="str">
        <f>[1]CoA!E9</f>
        <v>1-1211</v>
      </c>
      <c r="F15" s="30" t="s">
        <v>20</v>
      </c>
      <c r="G15" s="30" t="s">
        <v>12</v>
      </c>
      <c r="H15" s="30" t="s">
        <v>17</v>
      </c>
      <c r="I15" s="32">
        <v>5</v>
      </c>
      <c r="J15" s="46"/>
      <c r="K15" s="47"/>
      <c r="L15" s="47"/>
      <c r="M15" s="47"/>
      <c r="N15" s="48">
        <v>100000000</v>
      </c>
      <c r="O15" s="49"/>
      <c r="P15" s="47"/>
      <c r="Q15" s="47"/>
      <c r="R15" s="47"/>
      <c r="S15" s="48"/>
    </row>
    <row r="16" spans="1:19">
      <c r="A16" s="30">
        <f>[1]CoA!A10</f>
        <v>0</v>
      </c>
      <c r="B16" s="30">
        <f>[1]CoA!B10</f>
        <v>0</v>
      </c>
      <c r="C16" s="30">
        <f>[1]CoA!C10</f>
        <v>0</v>
      </c>
      <c r="D16" s="30">
        <f>[1]CoA!D10</f>
        <v>0</v>
      </c>
      <c r="E16" s="31" t="str">
        <f>[1]CoA!E10</f>
        <v>1-1212</v>
      </c>
      <c r="F16" s="30" t="s">
        <v>21</v>
      </c>
      <c r="G16" s="30" t="s">
        <v>12</v>
      </c>
      <c r="H16" s="30" t="s">
        <v>17</v>
      </c>
      <c r="I16" s="32">
        <v>5</v>
      </c>
      <c r="J16" s="50"/>
      <c r="K16" s="51"/>
      <c r="L16" s="51"/>
      <c r="M16" s="51"/>
      <c r="N16" s="52">
        <v>75000000</v>
      </c>
      <c r="O16" s="53"/>
      <c r="P16" s="51"/>
      <c r="Q16" s="51"/>
      <c r="R16" s="51"/>
      <c r="S16" s="52"/>
    </row>
    <row r="17" spans="1:19">
      <c r="A17" s="27">
        <f>[1]CoA!A11</f>
        <v>0</v>
      </c>
      <c r="B17" s="27">
        <f>[1]CoA!B11</f>
        <v>0</v>
      </c>
      <c r="C17" s="29" t="str">
        <f>[1]CoA!C11</f>
        <v>1-1300</v>
      </c>
      <c r="D17" s="27">
        <f>[1]CoA!D11</f>
        <v>0</v>
      </c>
      <c r="E17" s="27">
        <f>[1]CoA!E11</f>
        <v>0</v>
      </c>
      <c r="F17" s="33" t="s">
        <v>22</v>
      </c>
      <c r="G17" s="27" t="s">
        <v>12</v>
      </c>
      <c r="H17" s="27" t="s">
        <v>13</v>
      </c>
      <c r="I17" s="28">
        <v>3</v>
      </c>
      <c r="J17" s="54"/>
      <c r="K17" s="55"/>
      <c r="L17" s="55">
        <f>SUM(M18:M19)</f>
        <v>930000</v>
      </c>
      <c r="M17" s="55"/>
      <c r="N17" s="56"/>
      <c r="O17" s="57"/>
      <c r="P17" s="55"/>
      <c r="Q17" s="55"/>
      <c r="R17" s="55"/>
      <c r="S17" s="56"/>
    </row>
    <row r="18" spans="1:19">
      <c r="A18" s="30">
        <f>[1]CoA!A12</f>
        <v>0</v>
      </c>
      <c r="B18" s="30">
        <f>[1]CoA!B12</f>
        <v>0</v>
      </c>
      <c r="C18" s="30">
        <f>[1]CoA!C12</f>
        <v>0</v>
      </c>
      <c r="D18" s="31" t="str">
        <f>[1]CoA!D12</f>
        <v>1-1310</v>
      </c>
      <c r="E18" s="31">
        <f>[1]CoA!E12</f>
        <v>0</v>
      </c>
      <c r="F18" s="34" t="s">
        <v>22</v>
      </c>
      <c r="G18" s="30" t="s">
        <v>12</v>
      </c>
      <c r="H18" s="30" t="s">
        <v>17</v>
      </c>
      <c r="I18" s="32">
        <v>4</v>
      </c>
      <c r="J18" s="50"/>
      <c r="K18" s="51"/>
      <c r="L18" s="51"/>
      <c r="M18" s="51">
        <f>'[1]Master Data'!F10+'[1]Master Data'!W10+'[1]Master Data'!AO10</f>
        <v>930000</v>
      </c>
      <c r="N18" s="52"/>
      <c r="O18" s="53"/>
      <c r="P18" s="51"/>
      <c r="Q18" s="51"/>
      <c r="R18" s="51"/>
      <c r="S18" s="52"/>
    </row>
    <row r="19" spans="1:19">
      <c r="A19" s="30">
        <f>[1]CoA!A13</f>
        <v>0</v>
      </c>
      <c r="B19" s="30">
        <f>[1]CoA!B13</f>
        <v>0</v>
      </c>
      <c r="C19" s="30">
        <f>[1]CoA!C13</f>
        <v>0</v>
      </c>
      <c r="D19" s="31" t="str">
        <f>[1]CoA!D13</f>
        <v>1-1320</v>
      </c>
      <c r="E19" s="31">
        <f>[1]CoA!E13</f>
        <v>0</v>
      </c>
      <c r="F19" s="34" t="s">
        <v>23</v>
      </c>
      <c r="G19" s="30" t="s">
        <v>12</v>
      </c>
      <c r="H19" s="30" t="s">
        <v>17</v>
      </c>
      <c r="I19" s="32">
        <v>4</v>
      </c>
      <c r="J19" s="50"/>
      <c r="K19" s="51"/>
      <c r="L19" s="51"/>
      <c r="M19" s="51">
        <v>0</v>
      </c>
      <c r="N19" s="52"/>
      <c r="O19" s="53"/>
      <c r="P19" s="51"/>
      <c r="Q19" s="51"/>
      <c r="R19" s="51"/>
      <c r="S19" s="52"/>
    </row>
    <row r="20" spans="1:19">
      <c r="A20" s="27">
        <f>[1]CoA!A14</f>
        <v>0</v>
      </c>
      <c r="B20" s="27">
        <f>[1]CoA!B14</f>
        <v>0</v>
      </c>
      <c r="C20" s="29" t="str">
        <f>[1]CoA!C14</f>
        <v>1-1400</v>
      </c>
      <c r="D20" s="27">
        <f>[1]CoA!D14</f>
        <v>0</v>
      </c>
      <c r="E20" s="27">
        <f>[1]CoA!E14</f>
        <v>0</v>
      </c>
      <c r="F20" s="33" t="s">
        <v>24</v>
      </c>
      <c r="G20" s="27" t="s">
        <v>12</v>
      </c>
      <c r="H20" s="27" t="s">
        <v>13</v>
      </c>
      <c r="I20" s="28">
        <v>3</v>
      </c>
      <c r="J20" s="54"/>
      <c r="K20" s="55"/>
      <c r="L20" s="55">
        <f>SUM(M21:M23)</f>
        <v>2241000</v>
      </c>
      <c r="M20" s="55"/>
      <c r="N20" s="56"/>
      <c r="O20" s="57"/>
      <c r="P20" s="55"/>
      <c r="Q20" s="55"/>
      <c r="R20" s="55"/>
      <c r="S20" s="56"/>
    </row>
    <row r="21" spans="1:19">
      <c r="A21" s="30">
        <f>[1]CoA!A15</f>
        <v>0</v>
      </c>
      <c r="B21" s="30">
        <f>[1]CoA!B15</f>
        <v>0</v>
      </c>
      <c r="C21" s="30">
        <f>[1]CoA!C15</f>
        <v>0</v>
      </c>
      <c r="D21" s="31" t="str">
        <f>[1]CoA!D15</f>
        <v>1-1410</v>
      </c>
      <c r="E21" s="31">
        <f>[1]CoA!E15</f>
        <v>0</v>
      </c>
      <c r="F21" s="34" t="s">
        <v>25</v>
      </c>
      <c r="G21" s="30" t="s">
        <v>12</v>
      </c>
      <c r="H21" s="30" t="s">
        <v>17</v>
      </c>
      <c r="I21" s="32">
        <v>4</v>
      </c>
      <c r="J21" s="50"/>
      <c r="K21" s="51"/>
      <c r="L21" s="51"/>
      <c r="M21" s="51">
        <f>'[1]Master Data'!Z27</f>
        <v>2056000</v>
      </c>
      <c r="N21" s="52"/>
      <c r="O21" s="53"/>
      <c r="P21" s="51"/>
      <c r="Q21" s="51"/>
      <c r="R21" s="51"/>
      <c r="S21" s="52"/>
    </row>
    <row r="22" spans="1:19">
      <c r="A22" s="30">
        <f>[1]CoA!A16</f>
        <v>0</v>
      </c>
      <c r="B22" s="30">
        <f>[1]CoA!B16</f>
        <v>0</v>
      </c>
      <c r="C22" s="30">
        <f>[1]CoA!C16</f>
        <v>0</v>
      </c>
      <c r="D22" s="31" t="str">
        <f>[1]CoA!D16</f>
        <v>1-1420</v>
      </c>
      <c r="E22" s="31">
        <f>[1]CoA!E16</f>
        <v>0</v>
      </c>
      <c r="F22" s="34" t="s">
        <v>26</v>
      </c>
      <c r="G22" s="30" t="s">
        <v>12</v>
      </c>
      <c r="H22" s="30" t="s">
        <v>17</v>
      </c>
      <c r="I22" s="32">
        <v>4</v>
      </c>
      <c r="J22" s="50"/>
      <c r="K22" s="51"/>
      <c r="L22" s="51"/>
      <c r="M22" s="51">
        <f>'[1]Master Data'!H26</f>
        <v>185000</v>
      </c>
      <c r="N22" s="52"/>
      <c r="O22" s="53"/>
      <c r="P22" s="51"/>
      <c r="Q22" s="51"/>
      <c r="R22" s="51"/>
      <c r="S22" s="52"/>
    </row>
    <row r="23" spans="1:19">
      <c r="A23" s="30">
        <f>[1]CoA!A17</f>
        <v>0</v>
      </c>
      <c r="B23" s="30">
        <f>[1]CoA!B17</f>
        <v>0</v>
      </c>
      <c r="C23" s="30">
        <f>[1]CoA!C17</f>
        <v>0</v>
      </c>
      <c r="D23" s="31" t="str">
        <f>[1]CoA!D17</f>
        <v>1-1440</v>
      </c>
      <c r="E23" s="31">
        <f>[1]CoA!E17</f>
        <v>0</v>
      </c>
      <c r="F23" s="34" t="s">
        <v>27</v>
      </c>
      <c r="G23" s="30" t="s">
        <v>12</v>
      </c>
      <c r="H23" s="30" t="s">
        <v>17</v>
      </c>
      <c r="I23" s="32">
        <v>4</v>
      </c>
      <c r="J23" s="50"/>
      <c r="K23" s="51"/>
      <c r="L23" s="51"/>
      <c r="M23" s="51">
        <v>0</v>
      </c>
      <c r="N23" s="52"/>
      <c r="O23" s="53"/>
      <c r="P23" s="51"/>
      <c r="Q23" s="51"/>
      <c r="R23" s="51"/>
      <c r="S23" s="52"/>
    </row>
    <row r="24" spans="1:19">
      <c r="A24" s="27">
        <f>[1]CoA!A18</f>
        <v>0</v>
      </c>
      <c r="B24" s="27">
        <f>[1]CoA!B18</f>
        <v>0</v>
      </c>
      <c r="C24" s="29" t="str">
        <f>[1]CoA!C18</f>
        <v>1-1500</v>
      </c>
      <c r="D24" s="27">
        <f>[1]CoA!D18</f>
        <v>0</v>
      </c>
      <c r="E24" s="27">
        <f>[1]CoA!E18</f>
        <v>0</v>
      </c>
      <c r="F24" s="27" t="s">
        <v>28</v>
      </c>
      <c r="G24" s="27" t="s">
        <v>12</v>
      </c>
      <c r="H24" s="27" t="s">
        <v>13</v>
      </c>
      <c r="I24" s="28">
        <v>3</v>
      </c>
      <c r="J24" s="54"/>
      <c r="K24" s="55"/>
      <c r="L24" s="55">
        <f>SUM(M25:M27)</f>
        <v>0</v>
      </c>
      <c r="M24" s="55"/>
      <c r="N24" s="56"/>
      <c r="O24" s="57"/>
      <c r="P24" s="55"/>
      <c r="Q24" s="55"/>
      <c r="R24" s="55"/>
      <c r="S24" s="56"/>
    </row>
    <row r="25" spans="1:19">
      <c r="A25" s="30">
        <f>[1]CoA!A19</f>
        <v>0</v>
      </c>
      <c r="B25" s="30">
        <f>[1]CoA!B19</f>
        <v>0</v>
      </c>
      <c r="C25" s="30">
        <f>[1]CoA!C19</f>
        <v>0</v>
      </c>
      <c r="D25" s="31" t="str">
        <f>[1]CoA!D19</f>
        <v>1-1510</v>
      </c>
      <c r="E25" s="30">
        <f>[1]CoA!E19</f>
        <v>0</v>
      </c>
      <c r="F25" s="30" t="s">
        <v>29</v>
      </c>
      <c r="G25" s="30" t="s">
        <v>12</v>
      </c>
      <c r="H25" s="30" t="s">
        <v>17</v>
      </c>
      <c r="I25" s="32">
        <v>4</v>
      </c>
      <c r="J25" s="50"/>
      <c r="K25" s="51"/>
      <c r="L25" s="51"/>
      <c r="M25" s="51">
        <v>0</v>
      </c>
      <c r="N25" s="52"/>
      <c r="O25" s="53"/>
      <c r="P25" s="51"/>
      <c r="Q25" s="51"/>
      <c r="R25" s="51"/>
      <c r="S25" s="52"/>
    </row>
    <row r="26" spans="1:19">
      <c r="A26" s="30">
        <f>[1]CoA!A20</f>
        <v>0</v>
      </c>
      <c r="B26" s="30">
        <f>[1]CoA!B20</f>
        <v>0</v>
      </c>
      <c r="C26" s="30">
        <f>[1]CoA!C20</f>
        <v>0</v>
      </c>
      <c r="D26" s="31" t="str">
        <f>[1]CoA!D20</f>
        <v>1-1520</v>
      </c>
      <c r="E26" s="30">
        <f>[1]CoA!E20</f>
        <v>0</v>
      </c>
      <c r="F26" s="30" t="s">
        <v>30</v>
      </c>
      <c r="G26" s="30" t="s">
        <v>12</v>
      </c>
      <c r="H26" s="30" t="s">
        <v>17</v>
      </c>
      <c r="I26" s="32">
        <v>4</v>
      </c>
      <c r="J26" s="50"/>
      <c r="K26" s="51"/>
      <c r="L26" s="51"/>
      <c r="M26" s="51">
        <v>0</v>
      </c>
      <c r="N26" s="52"/>
      <c r="O26" s="53"/>
      <c r="P26" s="51"/>
      <c r="Q26" s="51"/>
      <c r="R26" s="51"/>
      <c r="S26" s="52"/>
    </row>
    <row r="27" spans="1:19">
      <c r="A27" s="30">
        <f>[1]CoA!A21</f>
        <v>0</v>
      </c>
      <c r="B27" s="30">
        <f>[1]CoA!B21</f>
        <v>0</v>
      </c>
      <c r="C27" s="31" t="str">
        <f>[1]CoA!C21</f>
        <v>1-1530</v>
      </c>
      <c r="D27" s="30">
        <f>[1]CoA!D21</f>
        <v>0</v>
      </c>
      <c r="E27" s="30">
        <f>[1]CoA!E21</f>
        <v>0</v>
      </c>
      <c r="F27" s="30" t="s">
        <v>31</v>
      </c>
      <c r="G27" s="30" t="s">
        <v>12</v>
      </c>
      <c r="H27" s="30" t="s">
        <v>17</v>
      </c>
      <c r="I27" s="32">
        <v>3</v>
      </c>
      <c r="J27" s="50"/>
      <c r="K27" s="51"/>
      <c r="L27" s="51"/>
      <c r="M27" s="51">
        <v>0</v>
      </c>
      <c r="N27" s="52"/>
      <c r="O27" s="53"/>
      <c r="P27" s="51"/>
      <c r="Q27" s="51"/>
      <c r="R27" s="51"/>
      <c r="S27" s="52"/>
    </row>
    <row r="28" spans="1:19">
      <c r="A28" s="30">
        <f>[1]CoA!A22</f>
        <v>0</v>
      </c>
      <c r="B28" s="31">
        <f>[1]CoA!B22</f>
        <v>36526</v>
      </c>
      <c r="C28" s="30">
        <f>[1]CoA!C22</f>
        <v>0</v>
      </c>
      <c r="D28" s="30">
        <f>[1]CoA!D22</f>
        <v>0</v>
      </c>
      <c r="E28" s="30">
        <f>[1]CoA!E22</f>
        <v>0</v>
      </c>
      <c r="F28" s="27" t="s">
        <v>32</v>
      </c>
      <c r="G28" s="27" t="s">
        <v>12</v>
      </c>
      <c r="H28" s="27" t="s">
        <v>13</v>
      </c>
      <c r="I28" s="28">
        <v>2</v>
      </c>
      <c r="J28" s="42"/>
      <c r="K28" s="43">
        <f>SUM(L29:L34)</f>
        <v>427650000</v>
      </c>
      <c r="L28" s="43"/>
      <c r="M28" s="43"/>
      <c r="N28" s="44"/>
      <c r="O28" s="45"/>
      <c r="P28" s="43"/>
      <c r="Q28" s="43"/>
      <c r="R28" s="43"/>
      <c r="S28" s="44"/>
    </row>
    <row r="29" spans="1:19">
      <c r="A29" s="30">
        <f>[1]CoA!A23</f>
        <v>0</v>
      </c>
      <c r="B29" s="30">
        <f>[1]CoA!B23</f>
        <v>0</v>
      </c>
      <c r="C29" s="31">
        <f>[1]CoA!C23</f>
        <v>40179</v>
      </c>
      <c r="D29" s="30">
        <f>[1]CoA!D23</f>
        <v>0</v>
      </c>
      <c r="E29" s="30">
        <f>[1]CoA!E23</f>
        <v>0</v>
      </c>
      <c r="F29" s="30" t="s">
        <v>33</v>
      </c>
      <c r="G29" s="30" t="s">
        <v>12</v>
      </c>
      <c r="H29" s="30" t="s">
        <v>17</v>
      </c>
      <c r="I29" s="32">
        <v>3</v>
      </c>
      <c r="J29" s="46"/>
      <c r="K29" s="47"/>
      <c r="L29" s="47">
        <v>0</v>
      </c>
      <c r="M29" s="47"/>
      <c r="N29" s="48"/>
      <c r="O29" s="49"/>
      <c r="P29" s="47"/>
      <c r="Q29" s="47"/>
      <c r="R29" s="47"/>
      <c r="S29" s="48"/>
    </row>
    <row r="30" spans="1:19">
      <c r="A30" s="30">
        <f>[1]CoA!A24</f>
        <v>0</v>
      </c>
      <c r="B30" s="30">
        <f>[1]CoA!B24</f>
        <v>0</v>
      </c>
      <c r="C30" s="31">
        <f>[1]CoA!C24</f>
        <v>43831</v>
      </c>
      <c r="D30" s="30">
        <f>[1]CoA!D24</f>
        <v>0</v>
      </c>
      <c r="E30" s="30">
        <f>[1]CoA!E24</f>
        <v>0</v>
      </c>
      <c r="F30" s="30" t="s">
        <v>34</v>
      </c>
      <c r="G30" s="30" t="s">
        <v>12</v>
      </c>
      <c r="H30" s="30" t="s">
        <v>17</v>
      </c>
      <c r="I30" s="32">
        <v>3</v>
      </c>
      <c r="J30" s="46"/>
      <c r="K30" s="47"/>
      <c r="L30" s="47">
        <f>'[1]Master Data'!H35+'[1]Master Data'!X36</f>
        <v>184000000</v>
      </c>
      <c r="M30" s="47"/>
      <c r="N30" s="48"/>
      <c r="O30" s="49"/>
      <c r="P30" s="47"/>
      <c r="Q30" s="47"/>
      <c r="R30" s="47"/>
      <c r="S30" s="48"/>
    </row>
    <row r="31" spans="1:19">
      <c r="A31" s="30">
        <f>[1]CoA!A25</f>
        <v>0</v>
      </c>
      <c r="B31" s="30">
        <f>[1]CoA!B25</f>
        <v>0</v>
      </c>
      <c r="C31" s="31">
        <f>[1]CoA!C25</f>
        <v>47484</v>
      </c>
      <c r="D31" s="30">
        <f>[1]CoA!D25</f>
        <v>0</v>
      </c>
      <c r="E31" s="30">
        <f>[1]CoA!E25</f>
        <v>0</v>
      </c>
      <c r="F31" s="30" t="s">
        <v>35</v>
      </c>
      <c r="G31" s="30" t="s">
        <v>12</v>
      </c>
      <c r="H31" s="30" t="s">
        <v>17</v>
      </c>
      <c r="I31" s="32">
        <v>3</v>
      </c>
      <c r="J31" s="46"/>
      <c r="K31" s="47"/>
      <c r="L31" s="47">
        <f>'[1]Master Data'!H37</f>
        <v>169000000</v>
      </c>
      <c r="M31" s="47"/>
      <c r="N31" s="48"/>
      <c r="O31" s="49"/>
      <c r="P31" s="47"/>
      <c r="Q31" s="47"/>
      <c r="R31" s="47"/>
      <c r="S31" s="48"/>
    </row>
    <row r="32" spans="1:19">
      <c r="A32" s="30">
        <f>[1]CoA!A26</f>
        <v>0</v>
      </c>
      <c r="B32" s="30">
        <f>[1]CoA!B26</f>
        <v>0</v>
      </c>
      <c r="C32" s="31">
        <f>[1]CoA!C26</f>
        <v>51136</v>
      </c>
      <c r="D32" s="30">
        <f>[1]CoA!D26</f>
        <v>0</v>
      </c>
      <c r="E32" s="30">
        <f>[1]CoA!E26</f>
        <v>0</v>
      </c>
      <c r="F32" s="30" t="s">
        <v>36</v>
      </c>
      <c r="G32" s="30" t="s">
        <v>12</v>
      </c>
      <c r="H32" s="30" t="s">
        <v>17</v>
      </c>
      <c r="I32" s="32">
        <v>3</v>
      </c>
      <c r="J32" s="46"/>
      <c r="K32" s="47"/>
      <c r="L32" s="47">
        <f>'[1]Master Data'!H36+'[1]Master Data'!X38+'[1]Master Data'!AP36</f>
        <v>74650000</v>
      </c>
      <c r="M32" s="47"/>
      <c r="N32" s="48"/>
      <c r="O32" s="49"/>
      <c r="P32" s="47"/>
      <c r="Q32" s="47"/>
      <c r="R32" s="47"/>
      <c r="S32" s="48"/>
    </row>
    <row r="33" spans="1:19">
      <c r="A33" s="30">
        <f>[1]CoA!A27</f>
        <v>0</v>
      </c>
      <c r="B33" s="30">
        <f>[1]CoA!B27</f>
        <v>0</v>
      </c>
      <c r="C33" s="31">
        <f>[1]CoA!C27</f>
        <v>54789</v>
      </c>
      <c r="D33" s="30">
        <f>[1]CoA!D27</f>
        <v>0</v>
      </c>
      <c r="E33" s="30">
        <f>[1]CoA!E27</f>
        <v>0</v>
      </c>
      <c r="F33" s="30" t="s">
        <v>37</v>
      </c>
      <c r="G33" s="30" t="s">
        <v>12</v>
      </c>
      <c r="H33" s="30" t="s">
        <v>17</v>
      </c>
      <c r="I33" s="32">
        <v>3</v>
      </c>
      <c r="J33" s="46"/>
      <c r="K33" s="47"/>
      <c r="L33" s="47">
        <v>0</v>
      </c>
      <c r="M33" s="47"/>
      <c r="N33" s="48"/>
      <c r="O33" s="49"/>
      <c r="P33" s="47"/>
      <c r="Q33" s="47"/>
      <c r="R33" s="47"/>
      <c r="S33" s="48"/>
    </row>
    <row r="34" spans="1:19">
      <c r="A34" s="30">
        <f>[1]CoA!A28</f>
        <v>0</v>
      </c>
      <c r="B34" s="30">
        <f>[1]CoA!B28</f>
        <v>0</v>
      </c>
      <c r="C34" s="31">
        <f>[1]CoA!C28</f>
        <v>58441</v>
      </c>
      <c r="D34" s="30">
        <f>[1]CoA!D28</f>
        <v>0</v>
      </c>
      <c r="E34" s="30">
        <f>[1]CoA!E28</f>
        <v>0</v>
      </c>
      <c r="F34" s="30" t="s">
        <v>38</v>
      </c>
      <c r="G34" s="30" t="s">
        <v>12</v>
      </c>
      <c r="H34" s="30" t="s">
        <v>17</v>
      </c>
      <c r="I34" s="32">
        <v>3</v>
      </c>
      <c r="J34" s="46"/>
      <c r="K34" s="47"/>
      <c r="L34" s="47">
        <v>0</v>
      </c>
      <c r="M34" s="47"/>
      <c r="N34" s="48"/>
      <c r="O34" s="49"/>
      <c r="P34" s="47"/>
      <c r="Q34" s="47"/>
      <c r="R34" s="47"/>
      <c r="S34" s="48"/>
    </row>
    <row r="35" spans="1:19">
      <c r="A35" s="27">
        <f>[1]CoA!A29</f>
        <v>0</v>
      </c>
      <c r="B35" s="27">
        <f>[1]CoA!B29</f>
        <v>0</v>
      </c>
      <c r="C35" s="29">
        <f>[1]CoA!C29</f>
        <v>69399</v>
      </c>
      <c r="D35" s="27">
        <f>[1]CoA!D29</f>
        <v>0</v>
      </c>
      <c r="E35" s="27">
        <f>[1]CoA!E29</f>
        <v>0</v>
      </c>
      <c r="F35" s="27" t="s">
        <v>39</v>
      </c>
      <c r="G35" s="27" t="s">
        <v>12</v>
      </c>
      <c r="H35" s="27" t="s">
        <v>13</v>
      </c>
      <c r="I35" s="28">
        <v>3</v>
      </c>
      <c r="J35" s="42"/>
      <c r="K35" s="58"/>
      <c r="L35" s="58"/>
      <c r="M35" s="43"/>
      <c r="N35" s="44"/>
      <c r="O35" s="45"/>
      <c r="P35" s="43">
        <f>SUM(Q36:Q40)</f>
        <v>38534375</v>
      </c>
      <c r="Q35" s="43"/>
      <c r="R35" s="43"/>
      <c r="S35" s="44"/>
    </row>
    <row r="36" spans="1:19">
      <c r="A36" s="30">
        <f>[1]CoA!A30</f>
        <v>0</v>
      </c>
      <c r="B36" s="30">
        <f>[1]CoA!B30</f>
        <v>0</v>
      </c>
      <c r="C36" s="30">
        <f>[1]CoA!C30</f>
        <v>0</v>
      </c>
      <c r="D36" s="31">
        <f>[1]CoA!D30</f>
        <v>69764</v>
      </c>
      <c r="E36" s="30">
        <f>[1]CoA!E30</f>
        <v>0</v>
      </c>
      <c r="F36" s="30" t="s">
        <v>40</v>
      </c>
      <c r="G36" s="30" t="s">
        <v>12</v>
      </c>
      <c r="H36" s="30" t="s">
        <v>17</v>
      </c>
      <c r="I36" s="32">
        <v>4</v>
      </c>
      <c r="J36" s="46"/>
      <c r="K36" s="59"/>
      <c r="L36" s="59"/>
      <c r="M36" s="47"/>
      <c r="N36" s="48"/>
      <c r="O36" s="49"/>
      <c r="P36" s="47"/>
      <c r="Q36" s="47">
        <f>'[1]Master Data'!J35</f>
        <v>2475000</v>
      </c>
      <c r="R36" s="47"/>
      <c r="S36" s="48"/>
    </row>
    <row r="37" spans="1:19">
      <c r="A37" s="30">
        <f>[1]CoA!A31</f>
        <v>0</v>
      </c>
      <c r="B37" s="30">
        <f>[1]CoA!B31</f>
        <v>0</v>
      </c>
      <c r="C37" s="30">
        <f>[1]CoA!C31</f>
        <v>0</v>
      </c>
      <c r="D37" s="31">
        <f>[1]CoA!D31</f>
        <v>70129</v>
      </c>
      <c r="E37" s="30">
        <f>[1]CoA!E31</f>
        <v>0</v>
      </c>
      <c r="F37" s="30" t="s">
        <v>41</v>
      </c>
      <c r="G37" s="30" t="s">
        <v>12</v>
      </c>
      <c r="H37" s="30" t="s">
        <v>17</v>
      </c>
      <c r="I37" s="32">
        <v>4</v>
      </c>
      <c r="J37" s="46"/>
      <c r="K37" s="59"/>
      <c r="L37" s="59"/>
      <c r="M37" s="47"/>
      <c r="N37" s="48"/>
      <c r="O37" s="49"/>
      <c r="P37" s="47"/>
      <c r="Q37" s="47">
        <f>'[1]Master Data'!J37</f>
        <v>19364583.333333332</v>
      </c>
      <c r="R37" s="47"/>
      <c r="S37" s="48"/>
    </row>
    <row r="38" spans="1:19">
      <c r="A38" s="30">
        <f>[1]CoA!A32</f>
        <v>0</v>
      </c>
      <c r="B38" s="30">
        <f>[1]CoA!B32</f>
        <v>0</v>
      </c>
      <c r="C38" s="30">
        <f>[1]CoA!C32</f>
        <v>0</v>
      </c>
      <c r="D38" s="31">
        <f>[1]CoA!D32</f>
        <v>70495</v>
      </c>
      <c r="E38" s="30">
        <f>[1]CoA!E32</f>
        <v>0</v>
      </c>
      <c r="F38" s="30" t="s">
        <v>42</v>
      </c>
      <c r="G38" s="30" t="s">
        <v>12</v>
      </c>
      <c r="H38" s="30" t="s">
        <v>17</v>
      </c>
      <c r="I38" s="32">
        <v>4</v>
      </c>
      <c r="J38" s="50"/>
      <c r="K38" s="59"/>
      <c r="L38" s="59"/>
      <c r="M38" s="51"/>
      <c r="N38" s="52"/>
      <c r="O38" s="53"/>
      <c r="P38" s="51"/>
      <c r="Q38" s="51">
        <f>'[1]Master Data'!J36+'[1]Master Data'!X38+'[1]Master Data'!AR36</f>
        <v>16694791.666666666</v>
      </c>
      <c r="R38" s="51"/>
      <c r="S38" s="52"/>
    </row>
    <row r="39" spans="1:19">
      <c r="A39" s="30">
        <f>[1]CoA!A33</f>
        <v>0</v>
      </c>
      <c r="B39" s="30">
        <f>[1]CoA!B33</f>
        <v>0</v>
      </c>
      <c r="C39" s="30">
        <f>[1]CoA!C33</f>
        <v>0</v>
      </c>
      <c r="D39" s="31">
        <f>[1]CoA!D33</f>
        <v>70860</v>
      </c>
      <c r="E39" s="30">
        <f>[1]CoA!E33</f>
        <v>0</v>
      </c>
      <c r="F39" s="30" t="s">
        <v>43</v>
      </c>
      <c r="G39" s="30" t="s">
        <v>12</v>
      </c>
      <c r="H39" s="30" t="s">
        <v>17</v>
      </c>
      <c r="I39" s="32">
        <v>4</v>
      </c>
      <c r="J39" s="46"/>
      <c r="K39" s="59"/>
      <c r="L39" s="59"/>
      <c r="M39" s="47"/>
      <c r="N39" s="48"/>
      <c r="O39" s="49"/>
      <c r="P39" s="47"/>
      <c r="Q39" s="47">
        <v>0</v>
      </c>
      <c r="R39" s="47"/>
      <c r="S39" s="48"/>
    </row>
    <row r="40" spans="1:19">
      <c r="A40" s="30">
        <f>[1]CoA!A34</f>
        <v>0</v>
      </c>
      <c r="B40" s="30">
        <f>[1]CoA!B34</f>
        <v>0</v>
      </c>
      <c r="C40" s="30">
        <f>[1]CoA!C34</f>
        <v>0</v>
      </c>
      <c r="D40" s="31">
        <f>[1]CoA!D34</f>
        <v>71225</v>
      </c>
      <c r="E40" s="30">
        <f>[1]CoA!E34</f>
        <v>0</v>
      </c>
      <c r="F40" s="30" t="s">
        <v>44</v>
      </c>
      <c r="G40" s="30" t="s">
        <v>12</v>
      </c>
      <c r="H40" s="30" t="s">
        <v>17</v>
      </c>
      <c r="I40" s="32">
        <v>4</v>
      </c>
      <c r="J40" s="46"/>
      <c r="K40" s="59"/>
      <c r="L40" s="59"/>
      <c r="M40" s="47"/>
      <c r="N40" s="48"/>
      <c r="O40" s="49"/>
      <c r="P40" s="47"/>
      <c r="Q40" s="47">
        <v>0</v>
      </c>
      <c r="R40" s="47"/>
      <c r="S40" s="48"/>
    </row>
    <row r="41" spans="1:19">
      <c r="A41" s="27">
        <f>[1]CoA!A35</f>
        <v>0</v>
      </c>
      <c r="B41" s="27">
        <f>[1]CoA!B35</f>
        <v>0</v>
      </c>
      <c r="C41" s="29">
        <f>[1]CoA!C35</f>
        <v>401769</v>
      </c>
      <c r="D41" s="27">
        <f>[1]CoA!D35</f>
        <v>0</v>
      </c>
      <c r="E41" s="27">
        <f>[1]CoA!E35</f>
        <v>0</v>
      </c>
      <c r="F41" s="27" t="s">
        <v>45</v>
      </c>
      <c r="G41" s="27" t="s">
        <v>12</v>
      </c>
      <c r="H41" s="27" t="s">
        <v>13</v>
      </c>
      <c r="I41" s="28">
        <v>3</v>
      </c>
      <c r="J41" s="42"/>
      <c r="K41" s="43">
        <f>SUM(L42:L44)</f>
        <v>0</v>
      </c>
      <c r="L41" s="43"/>
      <c r="M41" s="43"/>
      <c r="N41" s="44"/>
      <c r="O41" s="45"/>
      <c r="P41" s="43"/>
      <c r="Q41" s="43"/>
      <c r="R41" s="43"/>
      <c r="S41" s="44"/>
    </row>
    <row r="42" spans="1:19">
      <c r="A42" s="30">
        <f>[1]CoA!A36</f>
        <v>0</v>
      </c>
      <c r="B42" s="30">
        <f>[1]CoA!B36</f>
        <v>0</v>
      </c>
      <c r="C42" s="30">
        <f>[1]CoA!C36</f>
        <v>0</v>
      </c>
      <c r="D42" s="31">
        <f>[1]CoA!D36</f>
        <v>405421</v>
      </c>
      <c r="E42" s="30">
        <f>[1]CoA!E36</f>
        <v>0</v>
      </c>
      <c r="F42" s="30" t="s">
        <v>46</v>
      </c>
      <c r="G42" s="30" t="s">
        <v>12</v>
      </c>
      <c r="H42" s="30" t="s">
        <v>17</v>
      </c>
      <c r="I42" s="32">
        <v>4</v>
      </c>
      <c r="J42" s="46"/>
      <c r="K42" s="47"/>
      <c r="L42" s="47">
        <v>0</v>
      </c>
      <c r="M42" s="47"/>
      <c r="N42" s="48"/>
      <c r="O42" s="49"/>
      <c r="P42" s="47"/>
      <c r="Q42" s="47"/>
      <c r="R42" s="47"/>
      <c r="S42" s="48"/>
    </row>
    <row r="43" spans="1:19">
      <c r="A43" s="30">
        <f>[1]CoA!A37</f>
        <v>0</v>
      </c>
      <c r="B43" s="30">
        <f>[1]CoA!B37</f>
        <v>0</v>
      </c>
      <c r="C43" s="30">
        <f>[1]CoA!C37</f>
        <v>0</v>
      </c>
      <c r="D43" s="31">
        <f>[1]CoA!D37</f>
        <v>409073</v>
      </c>
      <c r="E43" s="30">
        <f>[1]CoA!E37</f>
        <v>0</v>
      </c>
      <c r="F43" s="30" t="s">
        <v>47</v>
      </c>
      <c r="G43" s="30" t="s">
        <v>12</v>
      </c>
      <c r="H43" s="30" t="s">
        <v>17</v>
      </c>
      <c r="I43" s="32">
        <v>4</v>
      </c>
      <c r="J43" s="46"/>
      <c r="K43" s="47"/>
      <c r="L43" s="47">
        <v>0</v>
      </c>
      <c r="M43" s="47"/>
      <c r="N43" s="48"/>
      <c r="O43" s="49"/>
      <c r="P43" s="47"/>
      <c r="Q43" s="47"/>
      <c r="R43" s="47"/>
      <c r="S43" s="48"/>
    </row>
    <row r="44" spans="1:19">
      <c r="A44" s="30">
        <f>[1]CoA!A38</f>
        <v>0</v>
      </c>
      <c r="B44" s="30">
        <f>[1]CoA!B38</f>
        <v>0</v>
      </c>
      <c r="C44" s="30">
        <f>[1]CoA!C38</f>
        <v>0</v>
      </c>
      <c r="D44" s="31">
        <f>[1]CoA!D38</f>
        <v>434641</v>
      </c>
      <c r="E44" s="30">
        <f>[1]CoA!E38</f>
        <v>0</v>
      </c>
      <c r="F44" s="30" t="s">
        <v>48</v>
      </c>
      <c r="G44" s="30" t="s">
        <v>12</v>
      </c>
      <c r="H44" s="30" t="s">
        <v>17</v>
      </c>
      <c r="I44" s="32">
        <v>4</v>
      </c>
      <c r="J44" s="46"/>
      <c r="K44" s="47"/>
      <c r="L44" s="47">
        <f>0</f>
        <v>0</v>
      </c>
      <c r="M44" s="47"/>
      <c r="N44" s="48"/>
      <c r="O44" s="49"/>
      <c r="P44" s="47"/>
      <c r="Q44" s="47"/>
      <c r="R44" s="47"/>
      <c r="S44" s="48"/>
    </row>
    <row r="45" spans="1:19">
      <c r="A45" s="27" t="str">
        <f>[1]CoA!A39</f>
        <v>2-0000</v>
      </c>
      <c r="B45" s="27">
        <f>[1]CoA!B39</f>
        <v>0</v>
      </c>
      <c r="C45" s="27">
        <f>[1]CoA!C39</f>
        <v>0</v>
      </c>
      <c r="D45" s="27">
        <f>[1]CoA!D39</f>
        <v>0</v>
      </c>
      <c r="E45" s="27">
        <f>[1]CoA!E39</f>
        <v>0</v>
      </c>
      <c r="F45" s="27" t="s">
        <v>49</v>
      </c>
      <c r="G45" s="27" t="s">
        <v>50</v>
      </c>
      <c r="H45" s="27" t="s">
        <v>13</v>
      </c>
      <c r="I45" s="28">
        <v>1</v>
      </c>
      <c r="J45" s="42"/>
      <c r="K45" s="43"/>
      <c r="L45" s="43"/>
      <c r="M45" s="43"/>
      <c r="N45" s="44"/>
      <c r="O45" s="45">
        <f>SUM(P46:P51)</f>
        <v>2100000</v>
      </c>
      <c r="P45" s="43"/>
      <c r="Q45" s="43"/>
      <c r="R45" s="43"/>
      <c r="S45" s="44"/>
    </row>
    <row r="46" spans="1:19">
      <c r="A46" s="30">
        <f>[1]CoA!A40</f>
        <v>0</v>
      </c>
      <c r="B46" s="31" t="str">
        <f>[1]CoA!B40</f>
        <v>2-0100</v>
      </c>
      <c r="C46" s="30">
        <f>[1]CoA!C40</f>
        <v>0</v>
      </c>
      <c r="D46" s="30">
        <f>[1]CoA!D40</f>
        <v>0</v>
      </c>
      <c r="E46" s="30">
        <f>[1]CoA!E40</f>
        <v>0</v>
      </c>
      <c r="F46" s="30" t="s">
        <v>51</v>
      </c>
      <c r="G46" s="30" t="s">
        <v>50</v>
      </c>
      <c r="H46" s="30" t="s">
        <v>17</v>
      </c>
      <c r="I46" s="32">
        <v>2</v>
      </c>
      <c r="J46" s="46"/>
      <c r="K46" s="47"/>
      <c r="L46" s="47"/>
      <c r="M46" s="47"/>
      <c r="N46" s="48"/>
      <c r="O46" s="49"/>
      <c r="P46" s="47">
        <f>'[1]Master Data'!G18+'[1]Master Data'!X18+'[1]Master Data'!AP18</f>
        <v>2100000</v>
      </c>
      <c r="Q46" s="47"/>
      <c r="R46" s="47"/>
      <c r="S46" s="48"/>
    </row>
    <row r="47" spans="1:19">
      <c r="A47" s="30">
        <f>[1]CoA!A41</f>
        <v>0</v>
      </c>
      <c r="B47" s="31" t="str">
        <f>[1]CoA!B41</f>
        <v>2-0200</v>
      </c>
      <c r="C47" s="30">
        <f>[1]CoA!C41</f>
        <v>0</v>
      </c>
      <c r="D47" s="30">
        <f>[1]CoA!D41</f>
        <v>0</v>
      </c>
      <c r="E47" s="30">
        <f>[1]CoA!E41</f>
        <v>0</v>
      </c>
      <c r="F47" s="30" t="s">
        <v>52</v>
      </c>
      <c r="G47" s="30" t="s">
        <v>50</v>
      </c>
      <c r="H47" s="30" t="s">
        <v>17</v>
      </c>
      <c r="I47" s="32">
        <v>2</v>
      </c>
      <c r="J47" s="46"/>
      <c r="K47" s="47"/>
      <c r="L47" s="47"/>
      <c r="M47" s="47"/>
      <c r="N47" s="48"/>
      <c r="O47" s="49"/>
      <c r="P47" s="47">
        <v>0</v>
      </c>
      <c r="Q47" s="47"/>
      <c r="R47" s="47"/>
      <c r="S47" s="48"/>
    </row>
    <row r="48" spans="1:19">
      <c r="A48" s="30">
        <f>[1]CoA!A42</f>
        <v>0</v>
      </c>
      <c r="B48" s="31" t="str">
        <f>[1]CoA!B42</f>
        <v>2-0300</v>
      </c>
      <c r="C48" s="30">
        <f>[1]CoA!C42</f>
        <v>0</v>
      </c>
      <c r="D48" s="30">
        <f>[1]CoA!D42</f>
        <v>0</v>
      </c>
      <c r="E48" s="30">
        <f>[1]CoA!E42</f>
        <v>0</v>
      </c>
      <c r="F48" s="30" t="s">
        <v>53</v>
      </c>
      <c r="G48" s="30" t="s">
        <v>50</v>
      </c>
      <c r="H48" s="30" t="s">
        <v>17</v>
      </c>
      <c r="I48" s="32">
        <v>2</v>
      </c>
      <c r="J48" s="46"/>
      <c r="K48" s="47"/>
      <c r="L48" s="47"/>
      <c r="M48" s="47"/>
      <c r="N48" s="48"/>
      <c r="O48" s="49"/>
      <c r="P48" s="47">
        <v>0</v>
      </c>
      <c r="Q48" s="47"/>
      <c r="R48" s="47"/>
      <c r="S48" s="48"/>
    </row>
    <row r="49" spans="1:19">
      <c r="A49" s="30">
        <f>[1]CoA!A43</f>
        <v>0</v>
      </c>
      <c r="B49" s="31" t="str">
        <f>[1]CoA!B43</f>
        <v>2-0400</v>
      </c>
      <c r="C49" s="30">
        <f>[1]CoA!C43</f>
        <v>0</v>
      </c>
      <c r="D49" s="30">
        <f>[1]CoA!D43</f>
        <v>0</v>
      </c>
      <c r="E49" s="30">
        <f>[1]CoA!E43</f>
        <v>0</v>
      </c>
      <c r="F49" s="30" t="s">
        <v>54</v>
      </c>
      <c r="G49" s="30" t="s">
        <v>50</v>
      </c>
      <c r="H49" s="30" t="s">
        <v>17</v>
      </c>
      <c r="I49" s="32">
        <v>2</v>
      </c>
      <c r="J49" s="46"/>
      <c r="K49" s="47"/>
      <c r="L49" s="47"/>
      <c r="M49" s="47"/>
      <c r="N49" s="48"/>
      <c r="O49" s="49"/>
      <c r="P49" s="47">
        <v>0</v>
      </c>
      <c r="Q49" s="47"/>
      <c r="R49" s="47"/>
      <c r="S49" s="48"/>
    </row>
    <row r="50" spans="1:19">
      <c r="A50" s="30">
        <f>[1]CoA!A44</f>
        <v>0</v>
      </c>
      <c r="B50" s="31" t="str">
        <f>[1]CoA!B44</f>
        <v>2-0500</v>
      </c>
      <c r="C50" s="30">
        <f>[1]CoA!C44</f>
        <v>0</v>
      </c>
      <c r="D50" s="30">
        <f>[1]CoA!D44</f>
        <v>0</v>
      </c>
      <c r="E50" s="30">
        <f>[1]CoA!E44</f>
        <v>0</v>
      </c>
      <c r="F50" s="30" t="s">
        <v>55</v>
      </c>
      <c r="G50" s="30" t="s">
        <v>50</v>
      </c>
      <c r="H50" s="30" t="s">
        <v>17</v>
      </c>
      <c r="I50" s="32">
        <v>2</v>
      </c>
      <c r="J50" s="46"/>
      <c r="K50" s="47"/>
      <c r="L50" s="47"/>
      <c r="M50" s="47"/>
      <c r="N50" s="48"/>
      <c r="O50" s="49"/>
      <c r="P50" s="47">
        <v>0</v>
      </c>
      <c r="Q50" s="47"/>
      <c r="R50" s="47"/>
      <c r="S50" s="48"/>
    </row>
    <row r="51" spans="1:19">
      <c r="A51" s="27">
        <f>[1]CoA!A45</f>
        <v>0</v>
      </c>
      <c r="B51" s="29" t="str">
        <f>[1]CoA!B45</f>
        <v>2-1000</v>
      </c>
      <c r="C51" s="27">
        <f>[1]CoA!C45</f>
        <v>0</v>
      </c>
      <c r="D51" s="27">
        <f>[1]CoA!D45</f>
        <v>0</v>
      </c>
      <c r="E51" s="27">
        <f>[1]CoA!E45</f>
        <v>0</v>
      </c>
      <c r="F51" s="27" t="s">
        <v>56</v>
      </c>
      <c r="G51" s="27" t="s">
        <v>50</v>
      </c>
      <c r="H51" s="27" t="s">
        <v>13</v>
      </c>
      <c r="I51" s="28">
        <v>2</v>
      </c>
      <c r="J51" s="42"/>
      <c r="K51" s="43"/>
      <c r="L51" s="43"/>
      <c r="M51" s="43"/>
      <c r="N51" s="44"/>
      <c r="O51" s="45"/>
      <c r="P51" s="43">
        <f>SUM(Q52:Q54)</f>
        <v>0</v>
      </c>
      <c r="Q51" s="43"/>
      <c r="R51" s="43"/>
      <c r="S51" s="44"/>
    </row>
    <row r="52" spans="1:19">
      <c r="A52" s="30">
        <f>[1]CoA!A46</f>
        <v>0</v>
      </c>
      <c r="B52" s="30">
        <f>[1]CoA!B46</f>
        <v>0</v>
      </c>
      <c r="C52" s="31" t="str">
        <f>[1]CoA!C46</f>
        <v>2-1100</v>
      </c>
      <c r="D52" s="30">
        <f>[1]CoA!D46</f>
        <v>0</v>
      </c>
      <c r="E52" s="30">
        <f>[1]CoA!E46</f>
        <v>0</v>
      </c>
      <c r="F52" s="30" t="s">
        <v>57</v>
      </c>
      <c r="G52" s="30" t="s">
        <v>50</v>
      </c>
      <c r="H52" s="30" t="s">
        <v>17</v>
      </c>
      <c r="I52" s="32">
        <v>3</v>
      </c>
      <c r="J52" s="46"/>
      <c r="K52" s="47"/>
      <c r="L52" s="47"/>
      <c r="M52" s="47"/>
      <c r="N52" s="48"/>
      <c r="O52" s="49"/>
      <c r="P52" s="47"/>
      <c r="Q52" s="47">
        <v>0</v>
      </c>
      <c r="R52" s="47"/>
      <c r="S52" s="48"/>
    </row>
    <row r="53" spans="1:19">
      <c r="A53" s="30">
        <f>[1]CoA!A47</f>
        <v>0</v>
      </c>
      <c r="B53" s="30">
        <f>[1]CoA!B47</f>
        <v>0</v>
      </c>
      <c r="C53" s="31" t="str">
        <f>[1]CoA!C47</f>
        <v>2-1200</v>
      </c>
      <c r="D53" s="30">
        <f>[1]CoA!D47</f>
        <v>0</v>
      </c>
      <c r="E53" s="30">
        <f>[1]CoA!E47</f>
        <v>0</v>
      </c>
      <c r="F53" s="30" t="s">
        <v>58</v>
      </c>
      <c r="G53" s="30" t="s">
        <v>50</v>
      </c>
      <c r="H53" s="30" t="s">
        <v>17</v>
      </c>
      <c r="I53" s="32">
        <v>3</v>
      </c>
      <c r="J53" s="46"/>
      <c r="K53" s="47"/>
      <c r="L53" s="47"/>
      <c r="M53" s="47"/>
      <c r="N53" s="48"/>
      <c r="O53" s="49"/>
      <c r="P53" s="47"/>
      <c r="Q53" s="47">
        <v>0</v>
      </c>
      <c r="R53" s="47"/>
      <c r="S53" s="48"/>
    </row>
    <row r="54" spans="1:19">
      <c r="A54" s="30">
        <f>[1]CoA!A48</f>
        <v>0</v>
      </c>
      <c r="B54" s="30">
        <f>[1]CoA!B48</f>
        <v>0</v>
      </c>
      <c r="C54" s="31" t="str">
        <f>[1]CoA!C48</f>
        <v>2-1300</v>
      </c>
      <c r="D54" s="30">
        <f>[1]CoA!D48</f>
        <v>0</v>
      </c>
      <c r="E54" s="30">
        <f>[1]CoA!E48</f>
        <v>0</v>
      </c>
      <c r="F54" s="30" t="s">
        <v>59</v>
      </c>
      <c r="G54" s="30" t="s">
        <v>50</v>
      </c>
      <c r="H54" s="30" t="s">
        <v>17</v>
      </c>
      <c r="I54" s="32">
        <v>3</v>
      </c>
      <c r="J54" s="46"/>
      <c r="K54" s="47"/>
      <c r="L54" s="47"/>
      <c r="M54" s="47"/>
      <c r="N54" s="48"/>
      <c r="O54" s="49"/>
      <c r="P54" s="47"/>
      <c r="Q54" s="47">
        <v>0</v>
      </c>
      <c r="R54" s="47"/>
      <c r="S54" s="48"/>
    </row>
    <row r="55" spans="1:19">
      <c r="A55" s="27" t="str">
        <f>[1]CoA!A49</f>
        <v>3-0000</v>
      </c>
      <c r="B55" s="27">
        <f>[1]CoA!B49</f>
        <v>0</v>
      </c>
      <c r="C55" s="27">
        <f>[1]CoA!C49</f>
        <v>0</v>
      </c>
      <c r="D55" s="27">
        <f>[1]CoA!D49</f>
        <v>0</v>
      </c>
      <c r="E55" s="27">
        <f>[1]CoA!E49</f>
        <v>0</v>
      </c>
      <c r="F55" s="27" t="s">
        <v>60</v>
      </c>
      <c r="G55" s="27" t="s">
        <v>61</v>
      </c>
      <c r="H55" s="27" t="s">
        <v>13</v>
      </c>
      <c r="I55" s="28">
        <v>1</v>
      </c>
      <c r="J55" s="42"/>
      <c r="K55" s="43"/>
      <c r="L55" s="43"/>
      <c r="M55" s="43"/>
      <c r="N55" s="44"/>
      <c r="O55" s="45">
        <f>SUM(P56:P64)</f>
        <v>853721000</v>
      </c>
      <c r="P55" s="43"/>
      <c r="Q55" s="43"/>
      <c r="R55" s="43"/>
      <c r="S55" s="44"/>
    </row>
    <row r="56" spans="1:19">
      <c r="A56" s="30">
        <f>[1]CoA!A50</f>
        <v>0</v>
      </c>
      <c r="B56" s="31" t="str">
        <f>[1]CoA!B50</f>
        <v>3-1100</v>
      </c>
      <c r="C56" s="30">
        <f>[1]CoA!C50</f>
        <v>0</v>
      </c>
      <c r="D56" s="30">
        <f>[1]CoA!D50</f>
        <v>0</v>
      </c>
      <c r="E56" s="30">
        <f>[1]CoA!E50</f>
        <v>0</v>
      </c>
      <c r="F56" s="30" t="s">
        <v>62</v>
      </c>
      <c r="G56" s="30" t="s">
        <v>61</v>
      </c>
      <c r="H56" s="30" t="s">
        <v>17</v>
      </c>
      <c r="I56" s="32">
        <v>2</v>
      </c>
      <c r="J56" s="46"/>
      <c r="K56" s="47"/>
      <c r="L56" s="47"/>
      <c r="M56" s="47"/>
      <c r="N56" s="48"/>
      <c r="O56" s="49"/>
      <c r="P56" s="47">
        <v>300000000</v>
      </c>
      <c r="Q56" s="47"/>
      <c r="R56" s="47"/>
      <c r="S56" s="48"/>
    </row>
    <row r="57" spans="1:19">
      <c r="A57" s="30">
        <f>[1]CoA!A51</f>
        <v>0</v>
      </c>
      <c r="B57" s="31" t="str">
        <f>[1]CoA!B51</f>
        <v>3-1200</v>
      </c>
      <c r="C57" s="30">
        <f>[1]CoA!C51</f>
        <v>0</v>
      </c>
      <c r="D57" s="30">
        <f>[1]CoA!D51</f>
        <v>0</v>
      </c>
      <c r="E57" s="30">
        <f>[1]CoA!E51</f>
        <v>0</v>
      </c>
      <c r="F57" s="30" t="s">
        <v>63</v>
      </c>
      <c r="G57" s="30" t="s">
        <v>61</v>
      </c>
      <c r="H57" s="30" t="s">
        <v>17</v>
      </c>
      <c r="I57" s="32">
        <v>2</v>
      </c>
      <c r="J57" s="46"/>
      <c r="K57" s="47"/>
      <c r="L57" s="47"/>
      <c r="M57" s="47"/>
      <c r="N57" s="48"/>
      <c r="O57" s="49"/>
      <c r="P57" s="47">
        <v>353721000</v>
      </c>
      <c r="Q57" s="47"/>
      <c r="R57" s="47"/>
      <c r="S57" s="48"/>
    </row>
    <row r="58" spans="1:19">
      <c r="A58" s="30">
        <f>[1]CoA!A52</f>
        <v>0</v>
      </c>
      <c r="B58" s="31" t="str">
        <f>[1]CoA!B52</f>
        <v>3-1300</v>
      </c>
      <c r="C58" s="30">
        <f>[1]CoA!C52</f>
        <v>0</v>
      </c>
      <c r="D58" s="30">
        <f>[1]CoA!D52</f>
        <v>0</v>
      </c>
      <c r="E58" s="30">
        <f>[1]CoA!E52</f>
        <v>0</v>
      </c>
      <c r="F58" s="30" t="s">
        <v>64</v>
      </c>
      <c r="G58" s="30" t="s">
        <v>61</v>
      </c>
      <c r="H58" s="30" t="s">
        <v>17</v>
      </c>
      <c r="I58" s="32">
        <v>2</v>
      </c>
      <c r="J58" s="46"/>
      <c r="K58" s="47"/>
      <c r="L58" s="47"/>
      <c r="M58" s="47"/>
      <c r="N58" s="48"/>
      <c r="O58" s="49"/>
      <c r="P58" s="47">
        <v>0</v>
      </c>
      <c r="Q58" s="47"/>
      <c r="R58" s="47"/>
      <c r="S58" s="48"/>
    </row>
    <row r="59" spans="1:19">
      <c r="A59" s="30">
        <f>[1]CoA!A53</f>
        <v>0</v>
      </c>
      <c r="B59" s="31" t="str">
        <f>[1]CoA!B53</f>
        <v>3-1400</v>
      </c>
      <c r="C59" s="30">
        <f>[1]CoA!C53</f>
        <v>0</v>
      </c>
      <c r="D59" s="30">
        <f>[1]CoA!D53</f>
        <v>0</v>
      </c>
      <c r="E59" s="30">
        <f>[1]CoA!E53</f>
        <v>0</v>
      </c>
      <c r="F59" s="30" t="s">
        <v>65</v>
      </c>
      <c r="G59" s="30" t="s">
        <v>61</v>
      </c>
      <c r="H59" s="30" t="s">
        <v>17</v>
      </c>
      <c r="I59" s="32">
        <v>2</v>
      </c>
      <c r="J59" s="46"/>
      <c r="K59" s="47"/>
      <c r="L59" s="47"/>
      <c r="M59" s="47"/>
      <c r="N59" s="48"/>
      <c r="O59" s="49"/>
      <c r="P59" s="47">
        <v>0</v>
      </c>
      <c r="Q59" s="47"/>
      <c r="R59" s="47"/>
      <c r="S59" s="48"/>
    </row>
    <row r="60" spans="1:19">
      <c r="A60" s="30">
        <f>[1]CoA!A54</f>
        <v>0</v>
      </c>
      <c r="B60" s="31" t="str">
        <f>[1]CoA!B54</f>
        <v>3-1500</v>
      </c>
      <c r="C60" s="30">
        <f>[1]CoA!C54</f>
        <v>0</v>
      </c>
      <c r="D60" s="30">
        <f>[1]CoA!D54</f>
        <v>0</v>
      </c>
      <c r="E60" s="30">
        <f>[1]CoA!E54</f>
        <v>0</v>
      </c>
      <c r="F60" s="30" t="s">
        <v>66</v>
      </c>
      <c r="G60" s="30" t="s">
        <v>61</v>
      </c>
      <c r="H60" s="30" t="s">
        <v>17</v>
      </c>
      <c r="I60" s="32">
        <v>2</v>
      </c>
      <c r="J60" s="46"/>
      <c r="K60" s="47"/>
      <c r="L60" s="47"/>
      <c r="M60" s="47"/>
      <c r="N60" s="48"/>
      <c r="O60" s="49"/>
      <c r="P60" s="47">
        <v>200000000</v>
      </c>
      <c r="Q60" s="47"/>
      <c r="R60" s="47"/>
      <c r="S60" s="48"/>
    </row>
    <row r="61" spans="1:19">
      <c r="A61" s="30">
        <f>[1]CoA!A55</f>
        <v>0</v>
      </c>
      <c r="B61" s="31" t="str">
        <f>[1]CoA!B55</f>
        <v>3-1600</v>
      </c>
      <c r="C61" s="30">
        <f>[1]CoA!C55</f>
        <v>0</v>
      </c>
      <c r="D61" s="30">
        <f>[1]CoA!D55</f>
        <v>0</v>
      </c>
      <c r="E61" s="30">
        <f>[1]CoA!E55</f>
        <v>0</v>
      </c>
      <c r="F61" s="30" t="s">
        <v>67</v>
      </c>
      <c r="G61" s="30" t="s">
        <v>61</v>
      </c>
      <c r="H61" s="30" t="s">
        <v>17</v>
      </c>
      <c r="I61" s="32">
        <v>2</v>
      </c>
      <c r="J61" s="50"/>
      <c r="K61" s="51"/>
      <c r="L61" s="47"/>
      <c r="M61" s="47"/>
      <c r="N61" s="48"/>
      <c r="O61" s="49"/>
      <c r="P61" s="47"/>
      <c r="Q61" s="47"/>
      <c r="R61" s="47"/>
      <c r="S61" s="48"/>
    </row>
    <row r="62" spans="1:19">
      <c r="A62" s="30">
        <f>[1]CoA!A56</f>
        <v>0</v>
      </c>
      <c r="B62" s="31" t="str">
        <f>[1]CoA!B56</f>
        <v>3-1700</v>
      </c>
      <c r="C62" s="30">
        <f>[1]CoA!C56</f>
        <v>0</v>
      </c>
      <c r="D62" s="30">
        <f>[1]CoA!D56</f>
        <v>0</v>
      </c>
      <c r="E62" s="30">
        <f>[1]CoA!E56</f>
        <v>0</v>
      </c>
      <c r="F62" s="30" t="s">
        <v>68</v>
      </c>
      <c r="G62" s="30" t="s">
        <v>61</v>
      </c>
      <c r="H62" s="30" t="s">
        <v>17</v>
      </c>
      <c r="I62" s="32">
        <v>2</v>
      </c>
      <c r="J62" s="46"/>
      <c r="K62" s="47"/>
      <c r="L62" s="47"/>
      <c r="M62" s="47"/>
      <c r="N62" s="48"/>
      <c r="O62" s="49"/>
      <c r="P62" s="47"/>
      <c r="Q62" s="47"/>
      <c r="R62" s="47"/>
      <c r="S62" s="48"/>
    </row>
    <row r="63" spans="1:19">
      <c r="A63" s="30">
        <f>[1]CoA!A57</f>
        <v>0</v>
      </c>
      <c r="B63" s="31" t="str">
        <f>[1]CoA!B57</f>
        <v>3-1800</v>
      </c>
      <c r="C63" s="30">
        <f>[1]CoA!C57</f>
        <v>0</v>
      </c>
      <c r="D63" s="30">
        <f>[1]CoA!D57</f>
        <v>0</v>
      </c>
      <c r="E63" s="30">
        <f>[1]CoA!E57</f>
        <v>0</v>
      </c>
      <c r="F63" s="30" t="s">
        <v>69</v>
      </c>
      <c r="G63" s="30" t="s">
        <v>61</v>
      </c>
      <c r="H63" s="30" t="s">
        <v>17</v>
      </c>
      <c r="I63" s="32">
        <v>2</v>
      </c>
      <c r="J63" s="46"/>
      <c r="K63" s="47"/>
      <c r="L63" s="47"/>
      <c r="M63" s="47"/>
      <c r="N63" s="48"/>
      <c r="O63" s="49"/>
      <c r="P63" s="47"/>
      <c r="Q63" s="47"/>
      <c r="R63" s="47"/>
      <c r="S63" s="48"/>
    </row>
    <row r="64" spans="1:19">
      <c r="A64" s="30">
        <f>[1]CoA!A58</f>
        <v>0</v>
      </c>
      <c r="B64" s="31">
        <f>[1]CoA!B58</f>
        <v>61</v>
      </c>
      <c r="C64" s="30">
        <f>[1]CoA!C58</f>
        <v>0</v>
      </c>
      <c r="D64" s="30">
        <f>[1]CoA!D58</f>
        <v>0</v>
      </c>
      <c r="E64" s="30">
        <f>[1]CoA!E58</f>
        <v>0</v>
      </c>
      <c r="F64" s="30" t="s">
        <v>70</v>
      </c>
      <c r="G64" s="30" t="s">
        <v>61</v>
      </c>
      <c r="H64" s="30" t="s">
        <v>17</v>
      </c>
      <c r="I64" s="32">
        <v>2</v>
      </c>
      <c r="J64" s="46"/>
      <c r="K64" s="47"/>
      <c r="L64" s="47"/>
      <c r="M64" s="47"/>
      <c r="N64" s="48"/>
      <c r="O64" s="49"/>
      <c r="P64" s="47"/>
      <c r="Q64" s="47"/>
      <c r="R64" s="47"/>
      <c r="S64" s="48"/>
    </row>
    <row r="65" spans="1:19">
      <c r="A65" s="27" t="str">
        <f>[1]CoA!A59</f>
        <v>4-0000</v>
      </c>
      <c r="B65" s="27">
        <f>[1]CoA!B59</f>
        <v>0</v>
      </c>
      <c r="C65" s="27">
        <f>[1]CoA!C59</f>
        <v>0</v>
      </c>
      <c r="D65" s="27">
        <f>[1]CoA!D59</f>
        <v>0</v>
      </c>
      <c r="E65" s="27">
        <f>[1]CoA!E59</f>
        <v>0</v>
      </c>
      <c r="F65" s="27" t="s">
        <v>71</v>
      </c>
      <c r="G65" s="27" t="s">
        <v>72</v>
      </c>
      <c r="H65" s="27" t="s">
        <v>13</v>
      </c>
      <c r="I65" s="28">
        <v>1</v>
      </c>
      <c r="J65" s="42"/>
      <c r="K65" s="43"/>
      <c r="L65" s="43"/>
      <c r="M65" s="43"/>
      <c r="N65" s="44"/>
      <c r="O65" s="45"/>
      <c r="P65" s="43"/>
      <c r="Q65" s="43"/>
      <c r="R65" s="43"/>
      <c r="S65" s="44"/>
    </row>
    <row r="66" spans="1:19">
      <c r="A66" s="30">
        <f>[1]CoA!A60</f>
        <v>0</v>
      </c>
      <c r="B66" s="31" t="str">
        <f>[1]CoA!B60</f>
        <v>4-1100</v>
      </c>
      <c r="C66" s="30">
        <f>[1]CoA!C60</f>
        <v>0</v>
      </c>
      <c r="D66" s="30">
        <f>[1]CoA!D60</f>
        <v>0</v>
      </c>
      <c r="E66" s="30">
        <f>[1]CoA!E60</f>
        <v>0</v>
      </c>
      <c r="F66" s="30" t="s">
        <v>73</v>
      </c>
      <c r="G66" s="30" t="s">
        <v>72</v>
      </c>
      <c r="H66" s="30" t="s">
        <v>17</v>
      </c>
      <c r="I66" s="32">
        <v>2</v>
      </c>
      <c r="J66" s="46"/>
      <c r="K66" s="47"/>
      <c r="L66" s="47"/>
      <c r="M66" s="47"/>
      <c r="N66" s="48"/>
      <c r="O66" s="49"/>
      <c r="P66" s="47"/>
      <c r="Q66" s="47"/>
      <c r="R66" s="47"/>
      <c r="S66" s="48"/>
    </row>
    <row r="67" spans="1:19">
      <c r="A67" s="30">
        <f>[1]CoA!A61</f>
        <v>0</v>
      </c>
      <c r="B67" s="31" t="str">
        <f>[1]CoA!B61</f>
        <v>4-1200</v>
      </c>
      <c r="C67" s="30">
        <f>[1]CoA!C61</f>
        <v>0</v>
      </c>
      <c r="D67" s="30">
        <f>[1]CoA!D61</f>
        <v>0</v>
      </c>
      <c r="E67" s="30">
        <f>[1]CoA!E61</f>
        <v>0</v>
      </c>
      <c r="F67" s="30" t="s">
        <v>74</v>
      </c>
      <c r="G67" s="30" t="s">
        <v>72</v>
      </c>
      <c r="H67" s="30" t="s">
        <v>17</v>
      </c>
      <c r="I67" s="32">
        <v>2</v>
      </c>
      <c r="J67" s="46"/>
      <c r="K67" s="47"/>
      <c r="L67" s="47"/>
      <c r="M67" s="47"/>
      <c r="N67" s="48"/>
      <c r="O67" s="49"/>
      <c r="P67" s="47"/>
      <c r="Q67" s="47"/>
      <c r="R67" s="47"/>
      <c r="S67" s="48"/>
    </row>
    <row r="68" spans="1:19">
      <c r="A68" s="30">
        <f>[1]CoA!A62</f>
        <v>0</v>
      </c>
      <c r="B68" s="31" t="str">
        <f>[1]CoA!B62</f>
        <v>4-1300</v>
      </c>
      <c r="C68" s="30">
        <f>[1]CoA!C62</f>
        <v>0</v>
      </c>
      <c r="D68" s="30">
        <f>[1]CoA!D62</f>
        <v>0</v>
      </c>
      <c r="E68" s="30">
        <f>[1]CoA!E62</f>
        <v>0</v>
      </c>
      <c r="F68" s="30" t="s">
        <v>75</v>
      </c>
      <c r="G68" s="30" t="s">
        <v>72</v>
      </c>
      <c r="H68" s="30" t="s">
        <v>17</v>
      </c>
      <c r="I68" s="32">
        <v>2</v>
      </c>
      <c r="J68" s="50"/>
      <c r="K68" s="51"/>
      <c r="L68" s="51"/>
      <c r="M68" s="51"/>
      <c r="N68" s="52"/>
      <c r="O68" s="53"/>
      <c r="P68" s="51"/>
      <c r="Q68" s="51"/>
      <c r="R68" s="51"/>
      <c r="S68" s="52"/>
    </row>
    <row r="69" spans="1:19">
      <c r="A69" s="30">
        <f>[1]CoA!A63</f>
        <v>0</v>
      </c>
      <c r="B69" s="31" t="str">
        <f>[1]CoA!B63</f>
        <v>4-1400</v>
      </c>
      <c r="C69" s="30">
        <f>[1]CoA!C63</f>
        <v>0</v>
      </c>
      <c r="D69" s="30">
        <f>[1]CoA!D63</f>
        <v>0</v>
      </c>
      <c r="E69" s="30">
        <f>[1]CoA!E63</f>
        <v>0</v>
      </c>
      <c r="F69" s="30" t="s">
        <v>76</v>
      </c>
      <c r="G69" s="30" t="s">
        <v>72</v>
      </c>
      <c r="H69" s="30" t="s">
        <v>17</v>
      </c>
      <c r="I69" s="32">
        <v>2</v>
      </c>
      <c r="J69" s="50"/>
      <c r="K69" s="51"/>
      <c r="L69" s="51"/>
      <c r="M69" s="51"/>
      <c r="N69" s="52"/>
      <c r="O69" s="53"/>
      <c r="P69" s="51"/>
      <c r="Q69" s="51"/>
      <c r="R69" s="51"/>
      <c r="S69" s="52"/>
    </row>
    <row r="70" spans="1:19">
      <c r="A70" s="30">
        <f>[1]CoA!A64</f>
        <v>0</v>
      </c>
      <c r="B70" s="31" t="str">
        <f>[1]CoA!B64</f>
        <v>4-1500</v>
      </c>
      <c r="C70" s="30">
        <f>[1]CoA!C64</f>
        <v>0</v>
      </c>
      <c r="D70" s="30">
        <f>[1]CoA!D64</f>
        <v>0</v>
      </c>
      <c r="E70" s="30">
        <f>[1]CoA!E64</f>
        <v>0</v>
      </c>
      <c r="F70" s="30" t="s">
        <v>77</v>
      </c>
      <c r="G70" s="30" t="s">
        <v>72</v>
      </c>
      <c r="H70" s="30" t="s">
        <v>17</v>
      </c>
      <c r="I70" s="32">
        <v>2</v>
      </c>
      <c r="J70" s="50"/>
      <c r="K70" s="51"/>
      <c r="L70" s="51"/>
      <c r="M70" s="51"/>
      <c r="N70" s="52"/>
      <c r="O70" s="53"/>
      <c r="P70" s="51"/>
      <c r="Q70" s="51"/>
      <c r="R70" s="51"/>
      <c r="S70" s="52"/>
    </row>
    <row r="71" spans="1:19">
      <c r="A71" s="30">
        <f>[1]CoA!A65</f>
        <v>0</v>
      </c>
      <c r="B71" s="31" t="str">
        <f>[1]CoA!B65</f>
        <v>4-1600</v>
      </c>
      <c r="C71" s="30">
        <f>[1]CoA!C65</f>
        <v>0</v>
      </c>
      <c r="D71" s="30">
        <f>[1]CoA!D65</f>
        <v>0</v>
      </c>
      <c r="E71" s="30">
        <f>[1]CoA!E65</f>
        <v>0</v>
      </c>
      <c r="F71" s="30" t="s">
        <v>78</v>
      </c>
      <c r="G71" s="30" t="s">
        <v>72</v>
      </c>
      <c r="H71" s="30" t="s">
        <v>17</v>
      </c>
      <c r="I71" s="32">
        <v>2</v>
      </c>
      <c r="J71" s="50"/>
      <c r="K71" s="51"/>
      <c r="L71" s="51"/>
      <c r="M71" s="51"/>
      <c r="N71" s="52"/>
      <c r="O71" s="53"/>
      <c r="P71" s="51"/>
      <c r="Q71" s="51"/>
      <c r="R71" s="51"/>
      <c r="S71" s="52"/>
    </row>
    <row r="72" spans="1:19">
      <c r="A72" s="30">
        <f>[1]CoA!A66</f>
        <v>0</v>
      </c>
      <c r="B72" s="31">
        <f>[1]CoA!B66</f>
        <v>36617</v>
      </c>
      <c r="C72" s="30">
        <f>[1]CoA!C66</f>
        <v>0</v>
      </c>
      <c r="D72" s="30">
        <f>[1]CoA!D66</f>
        <v>0</v>
      </c>
      <c r="E72" s="30">
        <f>[1]CoA!E66</f>
        <v>0</v>
      </c>
      <c r="F72" s="27" t="s">
        <v>79</v>
      </c>
      <c r="G72" s="27" t="s">
        <v>72</v>
      </c>
      <c r="H72" s="27" t="s">
        <v>13</v>
      </c>
      <c r="I72" s="28">
        <v>2</v>
      </c>
      <c r="J72" s="54"/>
      <c r="K72" s="55"/>
      <c r="L72" s="55"/>
      <c r="M72" s="55"/>
      <c r="N72" s="56"/>
      <c r="O72" s="57"/>
      <c r="P72" s="55"/>
      <c r="Q72" s="55"/>
      <c r="R72" s="55"/>
      <c r="S72" s="56"/>
    </row>
    <row r="73" spans="1:19">
      <c r="A73" s="30">
        <f>[1]CoA!A67</f>
        <v>0</v>
      </c>
      <c r="B73" s="31">
        <f>[1]CoA!B67</f>
        <v>0</v>
      </c>
      <c r="C73" s="31">
        <f>[1]CoA!C67</f>
        <v>73141</v>
      </c>
      <c r="D73" s="30">
        <f>[1]CoA!D67</f>
        <v>0</v>
      </c>
      <c r="E73" s="30">
        <f>[1]CoA!E67</f>
        <v>0</v>
      </c>
      <c r="F73" s="30" t="s">
        <v>80</v>
      </c>
      <c r="G73" s="30" t="s">
        <v>72</v>
      </c>
      <c r="H73" s="30" t="s">
        <v>17</v>
      </c>
      <c r="I73" s="32">
        <v>3</v>
      </c>
      <c r="J73" s="50"/>
      <c r="K73" s="51"/>
      <c r="L73" s="51"/>
      <c r="M73" s="51"/>
      <c r="N73" s="52"/>
      <c r="O73" s="53"/>
      <c r="P73" s="51"/>
      <c r="Q73" s="51"/>
      <c r="R73" s="51"/>
      <c r="S73" s="52"/>
    </row>
    <row r="74" spans="1:19">
      <c r="A74" s="30">
        <f>[1]CoA!A68</f>
        <v>0</v>
      </c>
      <c r="B74" s="31">
        <f>[1]CoA!B68</f>
        <v>0</v>
      </c>
      <c r="C74" s="31">
        <f>[1]CoA!C68</f>
        <v>109665</v>
      </c>
      <c r="D74" s="30">
        <f>[1]CoA!D68</f>
        <v>0</v>
      </c>
      <c r="E74" s="30">
        <f>[1]CoA!E68</f>
        <v>0</v>
      </c>
      <c r="F74" s="30" t="s">
        <v>81</v>
      </c>
      <c r="G74" s="30" t="s">
        <v>72</v>
      </c>
      <c r="H74" s="30" t="s">
        <v>17</v>
      </c>
      <c r="I74" s="32">
        <v>3</v>
      </c>
      <c r="J74" s="50"/>
      <c r="K74" s="51"/>
      <c r="L74" s="51"/>
      <c r="M74" s="51"/>
      <c r="N74" s="52"/>
      <c r="O74" s="53"/>
      <c r="P74" s="51"/>
      <c r="Q74" s="51"/>
      <c r="R74" s="51"/>
      <c r="S74" s="52"/>
    </row>
    <row r="75" spans="1:19">
      <c r="A75" s="30">
        <f>[1]CoA!A69</f>
        <v>0</v>
      </c>
      <c r="B75" s="31">
        <f>[1]CoA!B69</f>
        <v>0</v>
      </c>
      <c r="C75" s="31">
        <f>[1]CoA!C69</f>
        <v>146189</v>
      </c>
      <c r="D75" s="30">
        <f>[1]CoA!D69</f>
        <v>0</v>
      </c>
      <c r="E75" s="30">
        <f>[1]CoA!E69</f>
        <v>0</v>
      </c>
      <c r="F75" s="30" t="s">
        <v>82</v>
      </c>
      <c r="G75" s="30" t="s">
        <v>72</v>
      </c>
      <c r="H75" s="30" t="s">
        <v>17</v>
      </c>
      <c r="I75" s="32">
        <v>3</v>
      </c>
      <c r="J75" s="46"/>
      <c r="K75" s="47"/>
      <c r="L75" s="47"/>
      <c r="M75" s="47"/>
      <c r="N75" s="48"/>
      <c r="O75" s="49"/>
      <c r="P75" s="47"/>
      <c r="Q75" s="47"/>
      <c r="R75" s="47"/>
      <c r="S75" s="48"/>
    </row>
    <row r="76" spans="1:19">
      <c r="A76" s="27" t="str">
        <f>[1]CoA!A70</f>
        <v>5-1000</v>
      </c>
      <c r="B76" s="27">
        <f>[1]CoA!B70</f>
        <v>0</v>
      </c>
      <c r="C76" s="27">
        <f>[1]CoA!C70</f>
        <v>0</v>
      </c>
      <c r="D76" s="27">
        <f>[1]CoA!D70</f>
        <v>0</v>
      </c>
      <c r="E76" s="27">
        <f>[1]CoA!E70</f>
        <v>0</v>
      </c>
      <c r="F76" s="27" t="s">
        <v>83</v>
      </c>
      <c r="G76" s="27" t="s">
        <v>84</v>
      </c>
      <c r="H76" s="27" t="s">
        <v>13</v>
      </c>
      <c r="I76" s="28">
        <v>1</v>
      </c>
      <c r="J76" s="42"/>
      <c r="K76" s="43"/>
      <c r="L76" s="43"/>
      <c r="M76" s="43"/>
      <c r="N76" s="44"/>
      <c r="O76" s="45"/>
      <c r="P76" s="43"/>
      <c r="Q76" s="43"/>
      <c r="R76" s="43"/>
      <c r="S76" s="44"/>
    </row>
    <row r="77" spans="1:19">
      <c r="A77" s="30">
        <f>[1]CoA!A71</f>
        <v>0</v>
      </c>
      <c r="B77" s="31" t="str">
        <f>[1]CoA!B71</f>
        <v>5-1100</v>
      </c>
      <c r="C77" s="30">
        <f>[1]CoA!C71</f>
        <v>0</v>
      </c>
      <c r="D77" s="30">
        <f>[1]CoA!D71</f>
        <v>0</v>
      </c>
      <c r="E77" s="30">
        <f>[1]CoA!E71</f>
        <v>0</v>
      </c>
      <c r="F77" s="30" t="s">
        <v>85</v>
      </c>
      <c r="G77" s="30" t="s">
        <v>84</v>
      </c>
      <c r="H77" s="30" t="s">
        <v>17</v>
      </c>
      <c r="I77" s="32">
        <v>2</v>
      </c>
      <c r="J77" s="46"/>
      <c r="K77" s="47"/>
      <c r="L77" s="47"/>
      <c r="M77" s="47"/>
      <c r="N77" s="48"/>
      <c r="O77" s="49"/>
      <c r="P77" s="47"/>
      <c r="Q77" s="47"/>
      <c r="R77" s="47"/>
      <c r="S77" s="48"/>
    </row>
    <row r="78" spans="1:19">
      <c r="A78" s="30">
        <f>[1]CoA!A72</f>
        <v>0</v>
      </c>
      <c r="B78" s="31" t="str">
        <f>[1]CoA!B72</f>
        <v>5-1200</v>
      </c>
      <c r="C78" s="30">
        <f>[1]CoA!C72</f>
        <v>0</v>
      </c>
      <c r="D78" s="30">
        <f>[1]CoA!D72</f>
        <v>0</v>
      </c>
      <c r="E78" s="30">
        <f>[1]CoA!E72</f>
        <v>0</v>
      </c>
      <c r="F78" s="30" t="s">
        <v>86</v>
      </c>
      <c r="G78" s="30" t="s">
        <v>84</v>
      </c>
      <c r="H78" s="30" t="s">
        <v>17</v>
      </c>
      <c r="I78" s="32">
        <v>2</v>
      </c>
      <c r="J78" s="46"/>
      <c r="K78" s="47"/>
      <c r="L78" s="47"/>
      <c r="M78" s="47"/>
      <c r="N78" s="48"/>
      <c r="O78" s="49"/>
      <c r="P78" s="47"/>
      <c r="Q78" s="47"/>
      <c r="R78" s="47"/>
      <c r="S78" s="48"/>
    </row>
    <row r="79" spans="1:19">
      <c r="A79" s="27" t="str">
        <f>[1]CoA!A73</f>
        <v>5-2000</v>
      </c>
      <c r="B79" s="27">
        <f>[1]CoA!B73</f>
        <v>0</v>
      </c>
      <c r="C79" s="27">
        <f>[1]CoA!C73</f>
        <v>0</v>
      </c>
      <c r="D79" s="27">
        <f>[1]CoA!D73</f>
        <v>0</v>
      </c>
      <c r="E79" s="27">
        <f>[1]CoA!E73</f>
        <v>0</v>
      </c>
      <c r="F79" s="27" t="s">
        <v>87</v>
      </c>
      <c r="G79" s="27" t="s">
        <v>84</v>
      </c>
      <c r="H79" s="27" t="s">
        <v>13</v>
      </c>
      <c r="I79" s="28">
        <v>1</v>
      </c>
      <c r="J79" s="42"/>
      <c r="K79" s="43"/>
      <c r="L79" s="43"/>
      <c r="M79" s="43"/>
      <c r="N79" s="44"/>
      <c r="O79" s="45"/>
      <c r="P79" s="43"/>
      <c r="Q79" s="43"/>
      <c r="R79" s="43"/>
      <c r="S79" s="44"/>
    </row>
    <row r="80" spans="1:19">
      <c r="A80" s="30">
        <f>[1]CoA!A74</f>
        <v>0</v>
      </c>
      <c r="B80" s="30" t="str">
        <f>[1]CoA!B74</f>
        <v>5-2100</v>
      </c>
      <c r="C80" s="30">
        <f>[1]CoA!C74</f>
        <v>0</v>
      </c>
      <c r="D80" s="30">
        <f>[1]CoA!D74</f>
        <v>0</v>
      </c>
      <c r="E80" s="30">
        <f>[1]CoA!E74</f>
        <v>0</v>
      </c>
      <c r="F80" s="30" t="s">
        <v>88</v>
      </c>
      <c r="G80" s="30" t="s">
        <v>84</v>
      </c>
      <c r="H80" s="30" t="s">
        <v>17</v>
      </c>
      <c r="I80" s="32">
        <v>2</v>
      </c>
      <c r="J80" s="46"/>
      <c r="K80" s="47"/>
      <c r="L80" s="47"/>
      <c r="M80" s="47"/>
      <c r="N80" s="48"/>
      <c r="O80" s="49"/>
      <c r="P80" s="47"/>
      <c r="Q80" s="47"/>
      <c r="R80" s="47"/>
      <c r="S80" s="48"/>
    </row>
    <row r="81" spans="1:19">
      <c r="A81" s="27">
        <f>[1]CoA!A75</f>
        <v>0</v>
      </c>
      <c r="B81" s="27" t="str">
        <f>[1]CoA!B75</f>
        <v>5-2200</v>
      </c>
      <c r="C81" s="29">
        <f>[1]CoA!C75</f>
        <v>0</v>
      </c>
      <c r="D81" s="27">
        <f>[1]CoA!D75</f>
        <v>0</v>
      </c>
      <c r="E81" s="27">
        <f>[1]CoA!E75</f>
        <v>0</v>
      </c>
      <c r="F81" s="27" t="s">
        <v>89</v>
      </c>
      <c r="G81" s="27" t="s">
        <v>84</v>
      </c>
      <c r="H81" s="27" t="s">
        <v>13</v>
      </c>
      <c r="I81" s="28">
        <v>2</v>
      </c>
      <c r="J81" s="42"/>
      <c r="K81" s="43"/>
      <c r="L81" s="43"/>
      <c r="M81" s="43"/>
      <c r="N81" s="44"/>
      <c r="O81" s="45"/>
      <c r="P81" s="43"/>
      <c r="Q81" s="43"/>
      <c r="R81" s="43"/>
      <c r="S81" s="44"/>
    </row>
    <row r="82" spans="1:19">
      <c r="A82" s="30">
        <f>[1]CoA!A76</f>
        <v>0</v>
      </c>
      <c r="B82" s="30">
        <f>[1]CoA!B76</f>
        <v>0</v>
      </c>
      <c r="C82" s="30" t="str">
        <f>[1]CoA!C76</f>
        <v>5-2210</v>
      </c>
      <c r="D82" s="30">
        <f>[1]CoA!D76</f>
        <v>0</v>
      </c>
      <c r="E82" s="30">
        <f>[1]CoA!E76</f>
        <v>0</v>
      </c>
      <c r="F82" s="30" t="s">
        <v>90</v>
      </c>
      <c r="G82" s="30" t="s">
        <v>84</v>
      </c>
      <c r="H82" s="30" t="s">
        <v>17</v>
      </c>
      <c r="I82" s="32">
        <v>3</v>
      </c>
      <c r="J82" s="46"/>
      <c r="K82" s="47"/>
      <c r="L82" s="47"/>
      <c r="M82" s="47"/>
      <c r="N82" s="48"/>
      <c r="O82" s="49"/>
      <c r="P82" s="47"/>
      <c r="Q82" s="47"/>
      <c r="R82" s="47"/>
      <c r="S82" s="48"/>
    </row>
    <row r="83" spans="1:19">
      <c r="A83" s="30">
        <f>[1]CoA!A77</f>
        <v>0</v>
      </c>
      <c r="B83" s="30">
        <f>[1]CoA!B77</f>
        <v>0</v>
      </c>
      <c r="C83" s="31">
        <f>[1]CoA!C77</f>
        <v>113712</v>
      </c>
      <c r="D83" s="30">
        <f>[1]CoA!D77</f>
        <v>0</v>
      </c>
      <c r="E83" s="30">
        <f>[1]CoA!E77</f>
        <v>0</v>
      </c>
      <c r="F83" s="30" t="s">
        <v>91</v>
      </c>
      <c r="G83" s="30" t="s">
        <v>84</v>
      </c>
      <c r="H83" s="30" t="s">
        <v>17</v>
      </c>
      <c r="I83" s="32">
        <v>3</v>
      </c>
      <c r="J83" s="50"/>
      <c r="K83" s="51"/>
      <c r="L83" s="51"/>
      <c r="M83" s="51"/>
      <c r="N83" s="52"/>
      <c r="O83" s="53"/>
      <c r="P83" s="51"/>
      <c r="Q83" s="51"/>
      <c r="R83" s="51"/>
      <c r="S83" s="52"/>
    </row>
    <row r="84" spans="1:19">
      <c r="A84" s="30">
        <f>[1]CoA!A78</f>
        <v>0</v>
      </c>
      <c r="B84" s="30">
        <f>[1]CoA!B78</f>
        <v>0</v>
      </c>
      <c r="C84" s="30" t="str">
        <f>[1]CoA!C78</f>
        <v>5-2212</v>
      </c>
      <c r="D84" s="30">
        <f>[1]CoA!D78</f>
        <v>0</v>
      </c>
      <c r="E84" s="30">
        <f>[1]CoA!E78</f>
        <v>0</v>
      </c>
      <c r="F84" s="30" t="s">
        <v>92</v>
      </c>
      <c r="G84" s="30" t="s">
        <v>84</v>
      </c>
      <c r="H84" s="30" t="s">
        <v>17</v>
      </c>
      <c r="I84" s="32">
        <v>3</v>
      </c>
      <c r="J84" s="50"/>
      <c r="K84" s="51"/>
      <c r="L84" s="51"/>
      <c r="M84" s="51"/>
      <c r="N84" s="52"/>
      <c r="O84" s="53"/>
      <c r="P84" s="51"/>
      <c r="Q84" s="51"/>
      <c r="R84" s="51"/>
      <c r="S84" s="52"/>
    </row>
    <row r="85" spans="1:19">
      <c r="A85" s="30">
        <f>[1]CoA!A79</f>
        <v>0</v>
      </c>
      <c r="B85" s="30" t="str">
        <f>[1]CoA!B79</f>
        <v>5-2300</v>
      </c>
      <c r="C85" s="30">
        <f>[1]CoA!C79</f>
        <v>0</v>
      </c>
      <c r="D85" s="30">
        <f>[1]CoA!D79</f>
        <v>0</v>
      </c>
      <c r="E85" s="30">
        <f>[1]CoA!E79</f>
        <v>0</v>
      </c>
      <c r="F85" s="30" t="s">
        <v>93</v>
      </c>
      <c r="G85" s="30" t="s">
        <v>84</v>
      </c>
      <c r="H85" s="30" t="s">
        <v>17</v>
      </c>
      <c r="I85" s="32">
        <v>2</v>
      </c>
      <c r="J85" s="46"/>
      <c r="K85" s="47"/>
      <c r="L85" s="47"/>
      <c r="M85" s="47"/>
      <c r="N85" s="48"/>
      <c r="O85" s="49"/>
      <c r="P85" s="47"/>
      <c r="Q85" s="47"/>
      <c r="R85" s="47"/>
      <c r="S85" s="48"/>
    </row>
    <row r="86" spans="1:19">
      <c r="A86" s="30">
        <f>[1]CoA!A80</f>
        <v>0</v>
      </c>
      <c r="B86" s="30" t="str">
        <f>[1]CoA!B80</f>
        <v>5-2400</v>
      </c>
      <c r="C86" s="30">
        <f>[1]CoA!C80</f>
        <v>0</v>
      </c>
      <c r="D86" s="30">
        <f>[1]CoA!D80</f>
        <v>0</v>
      </c>
      <c r="E86" s="30">
        <f>[1]CoA!E80</f>
        <v>0</v>
      </c>
      <c r="F86" s="30" t="s">
        <v>94</v>
      </c>
      <c r="G86" s="30" t="s">
        <v>84</v>
      </c>
      <c r="H86" s="30" t="s">
        <v>17</v>
      </c>
      <c r="I86" s="32">
        <v>2</v>
      </c>
      <c r="J86" s="46"/>
      <c r="K86" s="47"/>
      <c r="L86" s="47"/>
      <c r="M86" s="47"/>
      <c r="N86" s="48"/>
      <c r="O86" s="49"/>
      <c r="P86" s="47"/>
      <c r="Q86" s="47"/>
      <c r="R86" s="47"/>
      <c r="S86" s="48"/>
    </row>
    <row r="87" spans="1:19">
      <c r="A87" s="30">
        <f>[1]CoA!A81</f>
        <v>0</v>
      </c>
      <c r="B87" s="30" t="str">
        <f>[1]CoA!B81</f>
        <v>5-2500</v>
      </c>
      <c r="C87" s="30">
        <f>[1]CoA!C81</f>
        <v>0</v>
      </c>
      <c r="D87" s="30">
        <f>[1]CoA!D81</f>
        <v>0</v>
      </c>
      <c r="E87" s="30">
        <f>[1]CoA!E81</f>
        <v>0</v>
      </c>
      <c r="F87" s="30" t="s">
        <v>95</v>
      </c>
      <c r="G87" s="30" t="s">
        <v>84</v>
      </c>
      <c r="H87" s="30" t="s">
        <v>17</v>
      </c>
      <c r="I87" s="32">
        <v>2</v>
      </c>
      <c r="J87" s="46"/>
      <c r="K87" s="47"/>
      <c r="L87" s="47"/>
      <c r="M87" s="47"/>
      <c r="N87" s="48"/>
      <c r="O87" s="49"/>
      <c r="P87" s="47"/>
      <c r="Q87" s="47"/>
      <c r="R87" s="47"/>
      <c r="S87" s="48"/>
    </row>
    <row r="88" spans="1:19">
      <c r="A88" s="30">
        <f>[1]CoA!A82</f>
        <v>0</v>
      </c>
      <c r="B88" s="30" t="str">
        <f>[1]CoA!B82</f>
        <v>5-2600</v>
      </c>
      <c r="C88" s="30">
        <f>[1]CoA!C82</f>
        <v>0</v>
      </c>
      <c r="D88" s="30">
        <f>[1]CoA!D82</f>
        <v>0</v>
      </c>
      <c r="E88" s="30">
        <f>[1]CoA!E82</f>
        <v>0</v>
      </c>
      <c r="F88" s="30" t="s">
        <v>96</v>
      </c>
      <c r="G88" s="30" t="s">
        <v>84</v>
      </c>
      <c r="H88" s="30" t="s">
        <v>17</v>
      </c>
      <c r="I88" s="32">
        <v>2</v>
      </c>
      <c r="J88" s="46"/>
      <c r="K88" s="47"/>
      <c r="L88" s="47"/>
      <c r="M88" s="47"/>
      <c r="N88" s="48"/>
      <c r="O88" s="49"/>
      <c r="P88" s="47"/>
      <c r="Q88" s="47"/>
      <c r="R88" s="47"/>
      <c r="S88" s="48"/>
    </row>
    <row r="89" spans="1:19">
      <c r="A89" s="30">
        <f>[1]CoA!A83</f>
        <v>0</v>
      </c>
      <c r="B89" s="30" t="str">
        <f>[1]CoA!B83</f>
        <v>5-2700</v>
      </c>
      <c r="C89" s="30">
        <f>[1]CoA!C83</f>
        <v>0</v>
      </c>
      <c r="D89" s="30">
        <f>[1]CoA!D83</f>
        <v>0</v>
      </c>
      <c r="E89" s="30">
        <f>[1]CoA!E83</f>
        <v>0</v>
      </c>
      <c r="F89" s="30" t="s">
        <v>97</v>
      </c>
      <c r="G89" s="30" t="s">
        <v>84</v>
      </c>
      <c r="H89" s="30" t="s">
        <v>17</v>
      </c>
      <c r="I89" s="32">
        <v>2</v>
      </c>
      <c r="J89" s="46"/>
      <c r="K89" s="47"/>
      <c r="L89" s="47"/>
      <c r="M89" s="47"/>
      <c r="N89" s="48"/>
      <c r="O89" s="49"/>
      <c r="P89" s="47"/>
      <c r="Q89" s="47"/>
      <c r="R89" s="47"/>
      <c r="S89" s="48"/>
    </row>
    <row r="90" spans="1:19">
      <c r="A90" s="30">
        <f>[1]CoA!A84</f>
        <v>0</v>
      </c>
      <c r="B90" s="30" t="str">
        <f>[1]CoA!B84</f>
        <v>5-2800</v>
      </c>
      <c r="C90" s="30">
        <f>[1]CoA!C84</f>
        <v>0</v>
      </c>
      <c r="D90" s="30">
        <f>[1]CoA!D84</f>
        <v>0</v>
      </c>
      <c r="E90" s="30">
        <f>[1]CoA!E84</f>
        <v>0</v>
      </c>
      <c r="F90" s="30" t="s">
        <v>98</v>
      </c>
      <c r="G90" s="30" t="s">
        <v>84</v>
      </c>
      <c r="H90" s="30" t="s">
        <v>17</v>
      </c>
      <c r="I90" s="32">
        <v>2</v>
      </c>
      <c r="J90" s="46"/>
      <c r="K90" s="47"/>
      <c r="L90" s="47"/>
      <c r="M90" s="47"/>
      <c r="N90" s="48"/>
      <c r="O90" s="49"/>
      <c r="P90" s="47"/>
      <c r="Q90" s="47"/>
      <c r="R90" s="47"/>
      <c r="S90" s="48"/>
    </row>
    <row r="91" spans="1:19">
      <c r="A91" s="30">
        <f>[1]CoA!A85</f>
        <v>0</v>
      </c>
      <c r="B91" s="30" t="str">
        <f>[1]CoA!B85</f>
        <v>5-2900</v>
      </c>
      <c r="C91" s="30">
        <f>[1]CoA!C85</f>
        <v>0</v>
      </c>
      <c r="D91" s="30">
        <f>[1]CoA!D85</f>
        <v>0</v>
      </c>
      <c r="E91" s="30">
        <f>[1]CoA!E85</f>
        <v>0</v>
      </c>
      <c r="F91" s="30" t="s">
        <v>99</v>
      </c>
      <c r="G91" s="30" t="s">
        <v>84</v>
      </c>
      <c r="H91" s="30" t="s">
        <v>17</v>
      </c>
      <c r="I91" s="32">
        <v>2</v>
      </c>
      <c r="J91" s="46"/>
      <c r="K91" s="47"/>
      <c r="L91" s="47"/>
      <c r="M91" s="47"/>
      <c r="N91" s="48"/>
      <c r="O91" s="49"/>
      <c r="P91" s="47"/>
      <c r="Q91" s="47"/>
      <c r="R91" s="47"/>
      <c r="S91" s="48"/>
    </row>
    <row r="92" spans="1:19">
      <c r="A92" s="30">
        <f>[1]CoA!A86</f>
        <v>0</v>
      </c>
      <c r="B92" s="30" t="str">
        <f>[1]CoA!B86</f>
        <v>5-3000</v>
      </c>
      <c r="C92" s="30">
        <f>[1]CoA!C86</f>
        <v>0</v>
      </c>
      <c r="D92" s="30">
        <f>[1]CoA!D86</f>
        <v>0</v>
      </c>
      <c r="E92" s="30">
        <f>[1]CoA!E86</f>
        <v>0</v>
      </c>
      <c r="F92" s="30" t="s">
        <v>100</v>
      </c>
      <c r="G92" s="30" t="s">
        <v>84</v>
      </c>
      <c r="H92" s="30" t="s">
        <v>17</v>
      </c>
      <c r="I92" s="32">
        <v>2</v>
      </c>
      <c r="J92" s="46"/>
      <c r="K92" s="47"/>
      <c r="L92" s="47"/>
      <c r="M92" s="47"/>
      <c r="N92" s="48"/>
      <c r="O92" s="49"/>
      <c r="P92" s="47"/>
      <c r="Q92" s="47"/>
      <c r="R92" s="47"/>
      <c r="S92" s="48"/>
    </row>
    <row r="93" spans="1:19">
      <c r="A93" s="30">
        <f>[1]CoA!A87</f>
        <v>0</v>
      </c>
      <c r="B93" s="30" t="str">
        <f>[1]CoA!B87</f>
        <v>5-3100</v>
      </c>
      <c r="C93" s="30">
        <f>[1]CoA!C87</f>
        <v>0</v>
      </c>
      <c r="D93" s="30">
        <f>[1]CoA!D87</f>
        <v>0</v>
      </c>
      <c r="E93" s="30">
        <f>[1]CoA!E87</f>
        <v>0</v>
      </c>
      <c r="F93" s="30" t="s">
        <v>101</v>
      </c>
      <c r="G93" s="30" t="s">
        <v>84</v>
      </c>
      <c r="H93" s="30" t="s">
        <v>17</v>
      </c>
      <c r="I93" s="32">
        <v>2</v>
      </c>
      <c r="J93" s="46"/>
      <c r="K93" s="47"/>
      <c r="L93" s="47"/>
      <c r="M93" s="47"/>
      <c r="N93" s="48"/>
      <c r="O93" s="49"/>
      <c r="P93" s="47"/>
      <c r="Q93" s="47"/>
      <c r="R93" s="47"/>
      <c r="S93" s="48"/>
    </row>
    <row r="94" spans="1:19">
      <c r="A94" s="27">
        <f>[1]CoA!A88</f>
        <v>0</v>
      </c>
      <c r="B94" s="27" t="str">
        <f>[1]CoA!B88</f>
        <v>5-3200</v>
      </c>
      <c r="C94" s="27">
        <f>[1]CoA!C88</f>
        <v>0</v>
      </c>
      <c r="D94" s="27">
        <f>[1]CoA!D88</f>
        <v>0</v>
      </c>
      <c r="E94" s="27">
        <f>[1]CoA!E88</f>
        <v>0</v>
      </c>
      <c r="F94" s="27" t="s">
        <v>102</v>
      </c>
      <c r="G94" s="27" t="s">
        <v>84</v>
      </c>
      <c r="H94" s="27" t="s">
        <v>13</v>
      </c>
      <c r="I94" s="28">
        <v>2</v>
      </c>
      <c r="J94" s="42"/>
      <c r="K94" s="43"/>
      <c r="L94" s="43"/>
      <c r="M94" s="43"/>
      <c r="N94" s="44"/>
      <c r="O94" s="45"/>
      <c r="P94" s="43"/>
      <c r="Q94" s="43"/>
      <c r="R94" s="43"/>
      <c r="S94" s="44"/>
    </row>
    <row r="95" spans="1:19">
      <c r="A95" s="30">
        <f>[1]CoA!A89</f>
        <v>0</v>
      </c>
      <c r="B95" s="30">
        <f>[1]CoA!B89</f>
        <v>0</v>
      </c>
      <c r="C95" s="30" t="str">
        <f>[1]CoA!C89</f>
        <v>5-3201</v>
      </c>
      <c r="D95" s="30">
        <f>[1]CoA!D89</f>
        <v>0</v>
      </c>
      <c r="E95" s="30">
        <f>[1]CoA!E89</f>
        <v>0</v>
      </c>
      <c r="F95" s="30" t="s">
        <v>103</v>
      </c>
      <c r="G95" s="30" t="s">
        <v>84</v>
      </c>
      <c r="H95" s="30" t="s">
        <v>17</v>
      </c>
      <c r="I95" s="32">
        <v>3</v>
      </c>
      <c r="J95" s="46"/>
      <c r="K95" s="47"/>
      <c r="L95" s="47"/>
      <c r="M95" s="47"/>
      <c r="N95" s="48"/>
      <c r="O95" s="49"/>
      <c r="P95" s="47"/>
      <c r="Q95" s="47"/>
      <c r="R95" s="47"/>
      <c r="S95" s="48"/>
    </row>
    <row r="96" spans="1:19">
      <c r="A96" s="30">
        <f>[1]CoA!A90</f>
        <v>0</v>
      </c>
      <c r="B96" s="30">
        <f>[1]CoA!B90</f>
        <v>0</v>
      </c>
      <c r="C96" s="30" t="str">
        <f>[1]CoA!C90</f>
        <v>5-3202</v>
      </c>
      <c r="D96" s="30">
        <f>[1]CoA!D90</f>
        <v>0</v>
      </c>
      <c r="E96" s="30">
        <f>[1]CoA!E90</f>
        <v>0</v>
      </c>
      <c r="F96" s="30" t="s">
        <v>104</v>
      </c>
      <c r="G96" s="30" t="s">
        <v>84</v>
      </c>
      <c r="H96" s="30" t="s">
        <v>17</v>
      </c>
      <c r="I96" s="32">
        <v>3</v>
      </c>
      <c r="J96" s="46"/>
      <c r="K96" s="47"/>
      <c r="L96" s="47"/>
      <c r="M96" s="47"/>
      <c r="N96" s="48"/>
      <c r="O96" s="49"/>
      <c r="P96" s="47"/>
      <c r="Q96" s="47"/>
      <c r="R96" s="47"/>
      <c r="S96" s="48"/>
    </row>
    <row r="97" spans="1:19">
      <c r="A97" s="30">
        <f>[1]CoA!A91</f>
        <v>0</v>
      </c>
      <c r="B97" s="30">
        <f>[1]CoA!B91</f>
        <v>0</v>
      </c>
      <c r="C97" s="30" t="str">
        <f>[1]CoA!C91</f>
        <v>5-3203</v>
      </c>
      <c r="D97" s="30">
        <f>[1]CoA!D91</f>
        <v>0</v>
      </c>
      <c r="E97" s="30">
        <f>[1]CoA!E91</f>
        <v>0</v>
      </c>
      <c r="F97" s="30" t="s">
        <v>105</v>
      </c>
      <c r="G97" s="30" t="s">
        <v>84</v>
      </c>
      <c r="H97" s="30" t="s">
        <v>17</v>
      </c>
      <c r="I97" s="32">
        <v>3</v>
      </c>
      <c r="J97" s="46"/>
      <c r="K97" s="47"/>
      <c r="L97" s="47"/>
      <c r="M97" s="47"/>
      <c r="N97" s="48"/>
      <c r="O97" s="49"/>
      <c r="P97" s="47"/>
      <c r="Q97" s="47"/>
      <c r="R97" s="47"/>
      <c r="S97" s="48"/>
    </row>
    <row r="98" spans="1:19">
      <c r="A98" s="30">
        <f>[1]CoA!A92</f>
        <v>0</v>
      </c>
      <c r="B98" s="30">
        <f>[1]CoA!B92</f>
        <v>0</v>
      </c>
      <c r="C98" s="30" t="str">
        <f>[1]CoA!C92</f>
        <v>5-3204</v>
      </c>
      <c r="D98" s="30">
        <f>[1]CoA!D92</f>
        <v>0</v>
      </c>
      <c r="E98" s="30">
        <f>[1]CoA!E92</f>
        <v>0</v>
      </c>
      <c r="F98" s="30" t="s">
        <v>106</v>
      </c>
      <c r="G98" s="30" t="s">
        <v>84</v>
      </c>
      <c r="H98" s="30" t="s">
        <v>17</v>
      </c>
      <c r="I98" s="32">
        <v>3</v>
      </c>
      <c r="J98" s="46"/>
      <c r="K98" s="47"/>
      <c r="L98" s="47"/>
      <c r="M98" s="47"/>
      <c r="N98" s="48"/>
      <c r="O98" s="49"/>
      <c r="P98" s="47"/>
      <c r="Q98" s="47"/>
      <c r="R98" s="47"/>
      <c r="S98" s="48"/>
    </row>
    <row r="99" spans="1:19">
      <c r="A99" s="30">
        <f>[1]CoA!A93</f>
        <v>0</v>
      </c>
      <c r="B99" s="30">
        <f>[1]CoA!B93</f>
        <v>0</v>
      </c>
      <c r="C99" s="30" t="str">
        <f>[1]CoA!C93</f>
        <v>5-3205</v>
      </c>
      <c r="D99" s="30">
        <f>[1]CoA!D93</f>
        <v>0</v>
      </c>
      <c r="E99" s="30">
        <f>[1]CoA!E93</f>
        <v>0</v>
      </c>
      <c r="F99" s="30" t="s">
        <v>107</v>
      </c>
      <c r="G99" s="30" t="s">
        <v>84</v>
      </c>
      <c r="H99" s="30" t="s">
        <v>17</v>
      </c>
      <c r="I99" s="32">
        <v>3</v>
      </c>
      <c r="J99" s="60"/>
      <c r="K99" s="61"/>
      <c r="L99" s="61"/>
      <c r="M99" s="61"/>
      <c r="N99" s="62"/>
      <c r="O99" s="63"/>
      <c r="P99" s="61"/>
      <c r="Q99" s="61"/>
      <c r="R99" s="61"/>
      <c r="S99" s="62"/>
    </row>
    <row r="100" spans="1:19">
      <c r="A100" s="35"/>
      <c r="B100" s="36"/>
      <c r="C100" s="36"/>
      <c r="D100" s="36"/>
      <c r="E100" s="37"/>
      <c r="F100" s="36"/>
      <c r="G100" s="36"/>
      <c r="H100" s="36"/>
      <c r="I100" s="37"/>
      <c r="J100" s="38">
        <f>J9</f>
        <v>894355375</v>
      </c>
      <c r="K100" s="13"/>
      <c r="L100" s="13"/>
      <c r="M100" s="13"/>
      <c r="N100" s="14"/>
      <c r="O100" s="39">
        <f>O45+O55+P35</f>
        <v>894355375</v>
      </c>
      <c r="P100" s="13"/>
      <c r="Q100" s="13"/>
      <c r="R100" s="13"/>
      <c r="S100" s="14"/>
    </row>
  </sheetData>
  <mergeCells count="13">
    <mergeCell ref="J7:N7"/>
    <mergeCell ref="O7:S7"/>
    <mergeCell ref="J100:N100"/>
    <mergeCell ref="O100:S100"/>
    <mergeCell ref="A1:I1"/>
    <mergeCell ref="A2:I2"/>
    <mergeCell ref="A3:I3"/>
    <mergeCell ref="E5:G5"/>
    <mergeCell ref="A7:E7"/>
    <mergeCell ref="F7:F8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2026-06-01T02:13:32Z</dcterms:created>
  <dcterms:modified xsi:type="dcterms:W3CDTF">2026-06-01T02:14:21Z</dcterms:modified>
</cp:coreProperties>
</file>