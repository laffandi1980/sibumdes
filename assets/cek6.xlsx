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8D8EACF2-84F6-2E4E-9EEC-E4FEE78B312B}" xr6:coauthVersionLast="47" xr6:coauthVersionMax="47" xr10:uidLastSave="{00000000-0000-0000-0000-000000000000}"/>
  <bookViews>
    <workbookView xWindow="1180" yWindow="1500" windowWidth="27240" windowHeight="15260" xr2:uid="{B5B6D670-DF7F-3A47-A1E2-CE4BE34BF01E}"/>
  </bookViews>
  <sheets>
    <sheet name="Sheet1" sheetId="1" r:id="rId1"/>
  </sheets>
  <definedNames>
    <definedName name="PenyesuaianUnit1">Sheet1!$A$3:$H$10</definedName>
    <definedName name="PenyesuaianUnit2">Sheet1!$A$15:$H$21</definedName>
    <definedName name="PenyesuaianUnit3">Sheet1!$A$26:$H$31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E30" i="1" s="1" a="1"/>
  <c r="E30" i="1" s="1"/>
  <c r="C29" i="1"/>
  <c r="B29" i="1"/>
  <c r="E29" i="1" s="1" a="1"/>
  <c r="E29" i="1" s="1"/>
  <c r="E28" i="1" a="1"/>
  <c r="E28" i="1" s="1"/>
  <c r="C28" i="1"/>
  <c r="B28" i="1"/>
  <c r="D28" i="1" s="1" a="1"/>
  <c r="D28" i="1" s="1"/>
  <c r="E27" i="1" a="1"/>
  <c r="E27" i="1" s="1"/>
  <c r="D27" i="1" a="1"/>
  <c r="D27" i="1" s="1"/>
  <c r="C27" i="1"/>
  <c r="B27" i="1"/>
  <c r="C26" i="1"/>
  <c r="B26" i="1"/>
  <c r="E26" i="1" s="1" a="1"/>
  <c r="E26" i="1" s="1"/>
  <c r="C25" i="1"/>
  <c r="B25" i="1"/>
  <c r="E25" i="1" s="1" a="1"/>
  <c r="E25" i="1" s="1"/>
  <c r="C19" i="1"/>
  <c r="B19" i="1"/>
  <c r="E19" i="1" s="1" a="1"/>
  <c r="E19" i="1" s="1"/>
  <c r="C18" i="1"/>
  <c r="B18" i="1"/>
  <c r="D18" i="1" s="1" a="1"/>
  <c r="D18" i="1" s="1"/>
  <c r="C17" i="1"/>
  <c r="B17" i="1"/>
  <c r="E17" i="1" s="1" a="1"/>
  <c r="E17" i="1" s="1"/>
  <c r="C16" i="1"/>
  <c r="B16" i="1"/>
  <c r="E16" i="1" s="1" a="1"/>
  <c r="E16" i="1" s="1"/>
  <c r="C15" i="1"/>
  <c r="B15" i="1"/>
  <c r="E15" i="1" s="1" a="1"/>
  <c r="E15" i="1" s="1"/>
  <c r="E14" i="1" a="1"/>
  <c r="E14" i="1" s="1"/>
  <c r="C14" i="1"/>
  <c r="B14" i="1"/>
  <c r="D14" i="1" s="1" a="1"/>
  <c r="D14" i="1" s="1"/>
  <c r="B11" i="1"/>
  <c r="B10" i="1"/>
  <c r="C9" i="1"/>
  <c r="B9" i="1"/>
  <c r="E9" i="1" s="1" a="1"/>
  <c r="E9" i="1" s="1"/>
  <c r="E8" i="1" a="1"/>
  <c r="E8" i="1" s="1"/>
  <c r="C8" i="1"/>
  <c r="B8" i="1"/>
  <c r="D8" i="1" s="1" a="1"/>
  <c r="D8" i="1" s="1"/>
  <c r="E7" i="1" a="1"/>
  <c r="E7" i="1" s="1"/>
  <c r="D7" i="1" a="1"/>
  <c r="D7" i="1" s="1"/>
  <c r="C7" i="1"/>
  <c r="B7" i="1"/>
  <c r="C6" i="1"/>
  <c r="B6" i="1"/>
  <c r="E6" i="1" s="1" a="1"/>
  <c r="E6" i="1" s="1"/>
  <c r="C5" i="1"/>
  <c r="B5" i="1"/>
  <c r="E5" i="1" s="1" a="1"/>
  <c r="E5" i="1" s="1"/>
  <c r="E4" i="1" a="1"/>
  <c r="E4" i="1" s="1"/>
  <c r="C4" i="1"/>
  <c r="B4" i="1"/>
  <c r="D4" i="1" s="1" a="1"/>
  <c r="D4" i="1" s="1"/>
  <c r="D17" i="1" l="1" a="1"/>
  <c r="D17" i="1" s="1"/>
  <c r="E18" i="1" a="1"/>
  <c r="E18" i="1" s="1"/>
  <c r="E11" i="1"/>
  <c r="E33" i="1"/>
  <c r="E22" i="1"/>
  <c r="D6" i="1" a="1"/>
  <c r="D6" i="1" s="1"/>
  <c r="D10" i="1" s="1"/>
  <c r="D16" i="1" a="1"/>
  <c r="D16" i="1" s="1"/>
  <c r="D26" i="1" a="1"/>
  <c r="D26" i="1" s="1"/>
  <c r="D30" i="1" a="1"/>
  <c r="D30" i="1" s="1"/>
  <c r="D5" i="1" a="1"/>
  <c r="D5" i="1" s="1"/>
  <c r="D9" i="1" a="1"/>
  <c r="D9" i="1" s="1"/>
  <c r="D15" i="1" a="1"/>
  <c r="D15" i="1" s="1"/>
  <c r="D21" i="1" s="1"/>
  <c r="D19" i="1" a="1"/>
  <c r="D19" i="1" s="1"/>
  <c r="D25" i="1" a="1"/>
  <c r="D25" i="1" s="1"/>
  <c r="D32" i="1" s="1"/>
  <c r="D29" i="1" a="1"/>
  <c r="D29" i="1" s="1"/>
</calcChain>
</file>

<file path=xl/sharedStrings.xml><?xml version="1.0" encoding="utf-8"?>
<sst xmlns="http://schemas.openxmlformats.org/spreadsheetml/2006/main" count="34" uniqueCount="8">
  <si>
    <t>REKAPITULASI JURNAL</t>
  </si>
  <si>
    <t>Unit Usaha</t>
  </si>
  <si>
    <t>Kode Akun</t>
  </si>
  <si>
    <t>Nama Akun</t>
  </si>
  <si>
    <t>Debit</t>
  </si>
  <si>
    <t>Kredit</t>
  </si>
  <si>
    <t>Peternakan Telur Sejahtera</t>
  </si>
  <si>
    <t>Minimarket Desa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</si>
</sst>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64" fontId="3" fillId="2" borderId="1" xfId="0" applyNumberFormat="1" applyFont="1" applyFill="1" applyBorder="1"/>
    <xf numFmtId="164" fontId="4" fillId="2" borderId="1" xfId="0" applyNumberFormat="1" applyFont="1" applyFill="1" applyBorder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C6A6-00AE-E845-8813-CFF94EF4140F}">
  <dimension ref="A1:E33"/>
  <sheetViews>
    <sheetView tabSelected="1" workbookViewId="0">
      <selection sqref="A1:E33"/>
    </sheetView>
  </sheetViews>
  <sheetFormatPr baseColWidth="10" defaultRowHeight="16" x14ac:dyDescent="0.2"/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3"/>
      <c r="B2" s="3"/>
      <c r="C2" s="3"/>
      <c r="D2" s="3"/>
      <c r="E2" s="3"/>
    </row>
    <row r="3" spans="1: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">
      <c r="A4" s="5" t="s">
        <v>6</v>
      </c>
      <c r="B4" s="6" t="str">
        <f ca="1">IFERROR(__xludf.DUMMYFUNCTION("SORT(UNIQUE(TOCOL(VSTACK(LEFT(TRIM(FILTER(INDEX(PenyesuaianUnit1,0,5),INDEX(PenyesuaianUnit1,0,5)&lt;&gt;"""")),6),LEFT(TRIM(FILTER(INDEX(PenyesuaianUnit1,0,7),INDEX(PenyesuaianUnit1,0,7)&lt;&gt;"""")),6)),1)))"),"1-1420")</f>
        <v>1-1420</v>
      </c>
      <c r="C4" s="6" t="str">
        <f ca="1">IFERROR(__xludf.DUMMYFUNCTION("IF(B37="""","""",IFERROR(INDEX(FILTER(INDEX(TabelCOA,0,2),REGEXREPLACE(TRIM(CLEAN(SUBSTITUTE(TO_TEXT(INDEX(TabelCOA,0,1)),CHAR(160),"" ""))),""[–—−]"",""-"")=REGEXREPLACE(TRIM(CLEAN(SUBSTITUTE(TO_TEXT(B37),CHAR(160),"" ""))),""[–—−]"",""-"")),1),""CEK CoA"&amp;"""))"),"Persediaan Barang Jadi")</f>
        <v>Persediaan Barang Jadi</v>
      </c>
      <c r="D4" s="7">
        <f t="array" aca="1" ref="D4" ca="1">IF(B4="","",IFERROR(SUMIF(INDEX(PenyesuaianUnit1,0,5),TRIM($B4)&amp;"*",INDEX(PenyesuaianUnit1,0,6)),0))</f>
        <v>0</v>
      </c>
      <c r="E4" s="7">
        <f t="array" aca="1" ref="E4" ca="1">IF(B4="","",IFERROR(SUMIF(INDEX(PenyesuaianUnit1,0,7),TRIM($B4)&amp;"*",INDEX(PenyesuaianUnit1,0,8)),0))</f>
        <v>0</v>
      </c>
    </row>
    <row r="5" spans="1:5" x14ac:dyDescent="0.2">
      <c r="A5" s="5" t="s">
        <v>6</v>
      </c>
      <c r="B5" s="6" t="str">
        <f ca="1">IFERROR(__xludf.DUMMYFUNCTION("""COMPUTED_VALUE"""),"1-2091")</f>
        <v>1-2091</v>
      </c>
      <c r="C5" s="6" t="str">
        <f ca="1">IFERROR(__xludf.DUMMYFUNCTION("IF(B38="""","""",IFERROR(INDEX(FILTER(INDEX(TabelCOA,0,2),REGEXREPLACE(TRIM(CLEAN(SUBSTITUTE(TO_TEXT(INDEX(TabelCOA,0,1)),CHAR(160),"" ""))),""[–—−]"",""-"")=REGEXREPLACE(TRIM(CLEAN(SUBSTITUTE(TO_TEXT(B38),CHAR(160),"" ""))),""[–—−]"",""-"")),1),""CEK CoA"&amp;"""))"),"Akumulasi Penyusutan Bangunan")</f>
        <v>Akumulasi Penyusutan Bangunan</v>
      </c>
      <c r="D5" s="7">
        <f t="array" aca="1" ref="D5" ca="1">IF(B5="","",IFERROR(SUMIF(INDEX(PenyesuaianUnit1,0,5),TRIM($B5)&amp;"*",INDEX(PenyesuaianUnit1,0,6)),0))</f>
        <v>0</v>
      </c>
      <c r="E5" s="7">
        <f t="array" aca="1" ref="E5" ca="1">IF(B5="","",IFERROR(SUMIF(INDEX(PenyesuaianUnit1,0,7),TRIM($B5)&amp;"*",INDEX(PenyesuaianUnit1,0,8)),0))</f>
        <v>0</v>
      </c>
    </row>
    <row r="6" spans="1:5" x14ac:dyDescent="0.2">
      <c r="A6" s="5" t="s">
        <v>6</v>
      </c>
      <c r="B6" s="6" t="str">
        <f ca="1">IFERROR(__xludf.DUMMYFUNCTION("""COMPUTED_VALUE"""),"1-2093")</f>
        <v>1-2093</v>
      </c>
      <c r="C6" s="6" t="str">
        <f ca="1">IFERROR(__xludf.DUMMYFUNCTION("IF(B39="""","""",IFERROR(INDEX(FILTER(INDEX(TabelCOA,0,2),REGEXREPLACE(TRIM(CLEAN(SUBSTITUTE(TO_TEXT(INDEX(TabelCOA,0,1)),CHAR(160),"" ""))),""[–—−]"",""-"")=REGEXREPLACE(TRIM(CLEAN(SUBSTITUTE(TO_TEXT(B39),CHAR(160),"" ""))),""[–—−]"",""-"")),1),""CEK CoA"&amp;"""))"),"Akumulasi Penyusutan Peralatan dan Mesin")</f>
        <v>Akumulasi Penyusutan Peralatan dan Mesin</v>
      </c>
      <c r="D6" s="7">
        <f t="array" aca="1" ref="D6" ca="1">IF(B6="","",IFERROR(SUMIF(INDEX(PenyesuaianUnit1,0,5),TRIM($B6)&amp;"*",INDEX(PenyesuaianUnit1,0,6)),0))</f>
        <v>0</v>
      </c>
      <c r="E6" s="7">
        <f t="array" aca="1" ref="E6" ca="1">IF(B6="","",IFERROR(SUMIF(INDEX(PenyesuaianUnit1,0,7),TRIM($B6)&amp;"*",INDEX(PenyesuaianUnit1,0,8)),0))</f>
        <v>0</v>
      </c>
    </row>
    <row r="7" spans="1:5" x14ac:dyDescent="0.2">
      <c r="A7" s="5" t="s">
        <v>6</v>
      </c>
      <c r="B7" s="6" t="str">
        <f ca="1">IFERROR(__xludf.DUMMYFUNCTION("""COMPUTED_VALUE"""),"5-1200")</f>
        <v>5-1200</v>
      </c>
      <c r="C7" s="6" t="str">
        <f ca="1">IFERROR(__xludf.DUMMYFUNCTION("IF(B40="""","""",IFERROR(INDEX(FILTER(INDEX(TabelCOA,0,2),REGEXREPLACE(TRIM(CLEAN(SUBSTITUTE(TO_TEXT(INDEX(TabelCOA,0,1)),CHAR(160),"" ""))),""[–—−]"",""-"")=REGEXREPLACE(TRIM(CLEAN(SUBSTITUTE(TO_TEXT(B40),CHAR(160),"" ""))),""[–—−]"",""-"")),1),""CEK CoA"&amp;"""))"),"HPP Barang Jadi / Hasil Produksi")</f>
        <v>HPP Barang Jadi / Hasil Produksi</v>
      </c>
      <c r="D7" s="7">
        <f t="array" aca="1" ref="D7" ca="1">IF(B7="","",IFERROR(SUMIF(INDEX(PenyesuaianUnit1,0,5),TRIM($B7)&amp;"*",INDEX(PenyesuaianUnit1,0,6)),0))</f>
        <v>0</v>
      </c>
      <c r="E7" s="7">
        <f t="array" aca="1" ref="E7" ca="1">IF(B7="","",IFERROR(SUMIF(INDEX(PenyesuaianUnit1,0,7),TRIM($B7)&amp;"*",INDEX(PenyesuaianUnit1,0,8)),0))</f>
        <v>0</v>
      </c>
    </row>
    <row r="8" spans="1:5" x14ac:dyDescent="0.2">
      <c r="A8" s="5" t="s">
        <v>6</v>
      </c>
      <c r="B8" s="6" t="str">
        <f ca="1">IFERROR(__xludf.DUMMYFUNCTION("""COMPUTED_VALUE"""),"5-2210")</f>
        <v>5-2210</v>
      </c>
      <c r="C8" s="6" t="str">
        <f ca="1">IFERROR(__xludf.DUMMYFUNCTION("IF(B41="""","""",IFERROR(INDEX(FILTER(INDEX(TabelCOA,0,2),REGEXREPLACE(TRIM(CLEAN(SUBSTITUTE(TO_TEXT(INDEX(TabelCOA,0,1)),CHAR(160),"" ""))),""[–—−]"",""-"")=REGEXREPLACE(TRIM(CLEAN(SUBSTITUTE(TO_TEXT(B41),CHAR(160),"" ""))),""[–—−]"",""-"")),1),""CEK CoA"&amp;"""))"),"Beban Operasional Peternakan Ayam Petelur")</f>
        <v>Beban Operasional Peternakan Ayam Petelur</v>
      </c>
      <c r="D8" s="7">
        <f t="array" aca="1" ref="D8" ca="1">IF(B8="","",IFERROR(SUMIF(INDEX(PenyesuaianUnit1,0,5),TRIM($B8)&amp;"*",INDEX(PenyesuaianUnit1,0,6)),0))</f>
        <v>0</v>
      </c>
      <c r="E8" s="7">
        <f t="array" aca="1" ref="E8" ca="1">IF(B8="","",IFERROR(SUMIF(INDEX(PenyesuaianUnit1,0,7),TRIM($B8)&amp;"*",INDEX(PenyesuaianUnit1,0,8)),0))</f>
        <v>0</v>
      </c>
    </row>
    <row r="9" spans="1:5" x14ac:dyDescent="0.2">
      <c r="A9" s="5" t="s">
        <v>6</v>
      </c>
      <c r="B9" s="6" t="str">
        <f ca="1">IFERROR(__xludf.DUMMYFUNCTION("""COMPUTED_VALUE"""),"5-2700")</f>
        <v>5-2700</v>
      </c>
      <c r="C9" s="6" t="str">
        <f ca="1">IFERROR(__xludf.DUMMYFUNCTION("IF(B42="""","""",IFERROR(INDEX(FILTER(INDEX(TabelCOA,0,2),REGEXREPLACE(TRIM(CLEAN(SUBSTITUTE(TO_TEXT(INDEX(TabelCOA,0,1)),CHAR(160),"" ""))),""[–—−]"",""-"")=REGEXREPLACE(TRIM(CLEAN(SUBSTITUTE(TO_TEXT(B42),CHAR(160),"" ""))),""[–—−]"",""-"")),1),""CEK CoA"&amp;"""))"),"Beban Perlengkapan")</f>
        <v>Beban Perlengkapan</v>
      </c>
      <c r="D9" s="7">
        <f t="array" aca="1" ref="D9" ca="1">IF(B9="","",IFERROR(SUMIF(INDEX(PenyesuaianUnit1,0,5),TRIM($B9)&amp;"*",INDEX(PenyesuaianUnit1,0,6)),0))</f>
        <v>0</v>
      </c>
      <c r="E9" s="7">
        <f t="array" aca="1" ref="E9" ca="1">IF(B9="","",IFERROR(SUMIF(INDEX(PenyesuaianUnit1,0,7),TRIM($B9)&amp;"*",INDEX(PenyesuaianUnit1,0,8)),0))</f>
        <v>0</v>
      </c>
    </row>
    <row r="10" spans="1:5" x14ac:dyDescent="0.2">
      <c r="A10" s="8"/>
      <c r="B10" s="9" t="str">
        <f ca="1">IFERROR(__xludf.DUMMYFUNCTION("""COMPUTED_VALUE"""),"Akun D")</f>
        <v>Akun D</v>
      </c>
      <c r="C10" s="9"/>
      <c r="D10" s="10">
        <f ca="1">SUM(D4:D9)</f>
        <v>0</v>
      </c>
      <c r="E10" s="9"/>
    </row>
    <row r="11" spans="1:5" x14ac:dyDescent="0.2">
      <c r="A11" s="8"/>
      <c r="B11" s="9" t="str">
        <f ca="1">IFERROR(__xludf.DUMMYFUNCTION("""COMPUTED_VALUE"""),"Akun K")</f>
        <v>Akun K</v>
      </c>
      <c r="C11" s="9"/>
      <c r="D11" s="9"/>
      <c r="E11" s="11">
        <f ca="1">SUM(E4:E10)</f>
        <v>0</v>
      </c>
    </row>
    <row r="12" spans="1:5" x14ac:dyDescent="0.2">
      <c r="A12" s="12"/>
    </row>
    <row r="13" spans="1:5" x14ac:dyDescent="0.2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</row>
    <row r="14" spans="1:5" x14ac:dyDescent="0.2">
      <c r="A14" s="5" t="s">
        <v>7</v>
      </c>
      <c r="B14" s="6" t="str">
        <f ca="1">IFERROR(__xludf.DUMMYFUNCTION("SORT(UNIQUE(TOCOL(VSTACK(
LEFT(TRIM(FILTER(INDEX(PenyesuaianUnit2,0,5),REGEXMATCH(INDEX(PenyesuaianUnit2,0,5),""^\d-\d{4}""))),6),
LEFT(TRIM(FILTER(INDEX(PenyesuaianUnit2,0,7),REGEXMATCH(INDEX(PenyesuaianUnit2,0,7),""^\d-\d{4}""))),6)
),1)))"),"1-1410")</f>
        <v>1-1410</v>
      </c>
      <c r="C14" s="6" t="str">
        <f ca="1">IFERROR(__xludf.DUMMYFUNCTION("IF(B47="""","""",IFERROR(INDEX(FILTER(INDEX(TabelCOA,0,2),REGEXREPLACE(TRIM(CLEAN(SUBSTITUTE(TO_TEXT(INDEX(TabelCOA,0,1)),CHAR(160),"" ""))),""[–—−]"",""-"")=REGEXREPLACE(TRIM(CLEAN(SUBSTITUTE(TO_TEXT(B47),CHAR(160),"" ""))),""[–—−]"",""-"")),1),""CEK CoA"&amp;"""))"),"Persediaan Barang Dagangan")</f>
        <v>Persediaan Barang Dagangan</v>
      </c>
      <c r="D14" s="7">
        <f t="array" aca="1" ref="D14" ca="1">IF(B14="","",IFERROR(SUMIF(INDEX(PenyesuaianUnit2,0,5),TRIM($B14)&amp;"*",INDEX(PenyesuaianUnit2,0,6)),0))</f>
        <v>0</v>
      </c>
      <c r="E14" s="7">
        <f t="array" aca="1" ref="E14" ca="1">IF(B14="","",IFERROR(SUMIF(INDEX(PenyesuaianUnit2,0,7),TRIM($B14)&amp;"*",INDEX(PenyesuaianUnit2,0,8)),0))</f>
        <v>0</v>
      </c>
    </row>
    <row r="15" spans="1:5" x14ac:dyDescent="0.2">
      <c r="A15" s="5" t="s">
        <v>7</v>
      </c>
      <c r="B15" s="6" t="str">
        <f ca="1">IFERROR(__xludf.DUMMYFUNCTION("""COMPUTED_VALUE"""),"1-1510")</f>
        <v>1-1510</v>
      </c>
      <c r="C15" s="6" t="str">
        <f ca="1">IFERROR(__xludf.DUMMYFUNCTION("IF(B48="""","""",IFERROR(INDEX(FILTER(INDEX(TabelCOA,0,2),REGEXREPLACE(TRIM(CLEAN(SUBSTITUTE(TO_TEXT(INDEX(TabelCOA,0,1)),CHAR(160),"" ""))),""[–—−]"",""-"")=REGEXREPLACE(TRIM(CLEAN(SUBSTITUTE(TO_TEXT(B48),CHAR(160),"" ""))),""[–—−]"",""-"")),1),""CEK CoA"&amp;"""))"),"Perlengkapan")</f>
        <v>Perlengkapan</v>
      </c>
      <c r="D15" s="7">
        <f t="array" aca="1" ref="D15" ca="1">IF(B15="","",IFERROR(SUMIF(INDEX(PenyesuaianUnit2,0,5),TRIM($B15)&amp;"*",INDEX(PenyesuaianUnit2,0,6)),0))</f>
        <v>0</v>
      </c>
      <c r="E15" s="7">
        <f t="array" aca="1" ref="E15" ca="1">IF(B15="","",IFERROR(SUMIF(INDEX(PenyesuaianUnit2,0,7),TRIM($B15)&amp;"*",INDEX(PenyesuaianUnit2,0,8)),0))</f>
        <v>0</v>
      </c>
    </row>
    <row r="16" spans="1:5" x14ac:dyDescent="0.2">
      <c r="A16" s="5" t="s">
        <v>7</v>
      </c>
      <c r="B16" s="6" t="str">
        <f ca="1">IFERROR(__xludf.DUMMYFUNCTION("""COMPUTED_VALUE"""),"4-1100")</f>
        <v>4-1100</v>
      </c>
      <c r="C16" s="6" t="str">
        <f ca="1">IFERROR(__xludf.DUMMYFUNCTION("IF(B49="""","""",IFERROR(INDEX(FILTER(INDEX(TabelCOA,0,2),REGEXREPLACE(TRIM(CLEAN(SUBSTITUTE(TO_TEXT(INDEX(TabelCOA,0,1)),CHAR(160),"" ""))),""[–—−]"",""-"")=REGEXREPLACE(TRIM(CLEAN(SUBSTITUTE(TO_TEXT(B49),CHAR(160),"" ""))),""[–—−]"",""-"")),1),""CEK CoA"&amp;"""))"),"Pendapatan Penjualan Barang Dagangan")</f>
        <v>Pendapatan Penjualan Barang Dagangan</v>
      </c>
      <c r="D16" s="7">
        <f t="array" aca="1" ref="D16" ca="1">IF(B16="","",IFERROR(SUMIF(INDEX(PenyesuaianUnit2,0,5),TRIM($B16)&amp;"*",INDEX(PenyesuaianUnit2,0,6)),0))</f>
        <v>0</v>
      </c>
      <c r="E16" s="7">
        <f t="array" aca="1" ref="E16" ca="1">IF(B16="","",IFERROR(SUMIF(INDEX(PenyesuaianUnit2,0,7),TRIM($B16)&amp;"*",INDEX(PenyesuaianUnit2,0,8)),0))</f>
        <v>0</v>
      </c>
    </row>
    <row r="17" spans="1:5" x14ac:dyDescent="0.2">
      <c r="A17" s="5" t="s">
        <v>7</v>
      </c>
      <c r="B17" s="6" t="str">
        <f ca="1">IFERROR(__xludf.DUMMYFUNCTION("""COMPUTED_VALUE"""),"4-2300")</f>
        <v>4-2300</v>
      </c>
      <c r="C17" s="6" t="str">
        <f ca="1">IFERROR(__xludf.DUMMYFUNCTION("IF(B50="""","""",IFERROR(INDEX(FILTER(INDEX(TabelCOA,0,2),REGEXREPLACE(TRIM(CLEAN(SUBSTITUTE(TO_TEXT(INDEX(TabelCOA,0,1)),CHAR(160),"" ""))),""[–—−]"",""-"")=REGEXREPLACE(TRIM(CLEAN(SUBSTITUTE(TO_TEXT(B50),CHAR(160),"" ""))),""[–—−]"",""-"")),1),""CEK CoA"&amp;"""))"),"Pendapatan Lain-lain Non-Operasional")</f>
        <v>Pendapatan Lain-lain Non-Operasional</v>
      </c>
      <c r="D17" s="7">
        <f t="array" aca="1" ref="D17" ca="1">IF(B17="","",IFERROR(SUMIF(INDEX(PenyesuaianUnit2,0,5),TRIM($B17)&amp;"*",INDEX(PenyesuaianUnit2,0,6)),0))</f>
        <v>0</v>
      </c>
      <c r="E17" s="7">
        <f t="array" aca="1" ref="E17" ca="1">IF(B17="","",IFERROR(SUMIF(INDEX(PenyesuaianUnit2,0,7),TRIM($B17)&amp;"*",INDEX(PenyesuaianUnit2,0,8)),0))</f>
        <v>0</v>
      </c>
    </row>
    <row r="18" spans="1:5" x14ac:dyDescent="0.2">
      <c r="A18" s="5" t="s">
        <v>7</v>
      </c>
      <c r="B18" s="6" t="str">
        <f ca="1">IFERROR(__xludf.DUMMYFUNCTION("""COMPUTED_VALUE"""),"5-1100")</f>
        <v>5-1100</v>
      </c>
      <c r="C18" s="6" t="str">
        <f ca="1">IFERROR(__xludf.DUMMYFUNCTION("IF(B51="""","""",IFERROR(INDEX(FILTER(INDEX(TabelCOA,0,2),REGEXREPLACE(TRIM(CLEAN(SUBSTITUTE(TO_TEXT(INDEX(TabelCOA,0,1)),CHAR(160),"" ""))),""[–—−]"",""-"")=REGEXREPLACE(TRIM(CLEAN(SUBSTITUTE(TO_TEXT(B51),CHAR(160),"" ""))),""[–—−]"",""-"")),1),""CEK CoA"&amp;"""))"),"HPP Barang Dagangan")</f>
        <v>HPP Barang Dagangan</v>
      </c>
      <c r="D18" s="7">
        <f t="array" aca="1" ref="D18" ca="1">IF(B18="","",IFERROR(SUMIF(INDEX(PenyesuaianUnit2,0,5),TRIM($B18)&amp;"*",INDEX(PenyesuaianUnit2,0,6)),0))</f>
        <v>0</v>
      </c>
      <c r="E18" s="7">
        <f t="array" aca="1" ref="E18" ca="1">IF(B18="","",IFERROR(SUMIF(INDEX(PenyesuaianUnit2,0,7),TRIM($B18)&amp;"*",INDEX(PenyesuaianUnit2,0,8)),0))</f>
        <v>0</v>
      </c>
    </row>
    <row r="19" spans="1:5" x14ac:dyDescent="0.2">
      <c r="A19" s="5" t="s">
        <v>7</v>
      </c>
      <c r="B19" s="6" t="str">
        <f ca="1">IFERROR(__xludf.DUMMYFUNCTION("""COMPUTED_VALUE"""),"5-2400")</f>
        <v>5-2400</v>
      </c>
      <c r="C19" s="6" t="str">
        <f ca="1">IFERROR(__xludf.DUMMYFUNCTION("IF(B52="""","""",IFERROR(INDEX(FILTER(INDEX(TabelCOA,0,2),REGEXREPLACE(TRIM(CLEAN(SUBSTITUTE(TO_TEXT(INDEX(TabelCOA,0,1)),CHAR(160),"" ""))),""[–—−]"",""-"")=REGEXREPLACE(TRIM(CLEAN(SUBSTITUTE(TO_TEXT(B52),CHAR(160),"" ""))),""[–—−]"",""-"")),1),""CEK CoA"&amp;"""))"),"Beban Administrasi dan Umum")</f>
        <v>Beban Administrasi dan Umum</v>
      </c>
      <c r="D19" s="7">
        <f t="array" aca="1" ref="D19" ca="1">IF(B19="","",IFERROR(SUMIF(INDEX(PenyesuaianUnit2,0,5),TRIM($B19)&amp;"*",INDEX(PenyesuaianUnit2,0,6)),0))</f>
        <v>0</v>
      </c>
      <c r="E19" s="7">
        <f t="array" aca="1" ref="E19" ca="1">IF(B19="","",IFERROR(SUMIF(INDEX(PenyesuaianUnit2,0,7),TRIM($B19)&amp;"*",INDEX(PenyesuaianUnit2,0,8)),0))</f>
        <v>0</v>
      </c>
    </row>
    <row r="20" spans="1:5" x14ac:dyDescent="0.2">
      <c r="A20" s="13"/>
      <c r="B20" s="14"/>
      <c r="C20" s="14"/>
      <c r="D20" s="14"/>
      <c r="E20" s="14"/>
    </row>
    <row r="21" spans="1:5" x14ac:dyDescent="0.2">
      <c r="A21" s="8"/>
      <c r="B21" s="9"/>
      <c r="C21" s="9"/>
      <c r="D21" s="10">
        <f ca="1">SUM(D14:D17)</f>
        <v>0</v>
      </c>
      <c r="E21" s="9"/>
    </row>
    <row r="22" spans="1:5" x14ac:dyDescent="0.2">
      <c r="A22" s="8"/>
      <c r="B22" s="9"/>
      <c r="C22" s="9"/>
      <c r="D22" s="9"/>
      <c r="E22" s="11">
        <f ca="1">SUM(E15:E21)</f>
        <v>0</v>
      </c>
    </row>
    <row r="23" spans="1:5" x14ac:dyDescent="0.2">
      <c r="A23" s="12"/>
    </row>
    <row r="24" spans="1:5" x14ac:dyDescent="0.2">
      <c r="A24" s="4" t="s">
        <v>1</v>
      </c>
      <c r="B24" s="4" t="s">
        <v>2</v>
      </c>
      <c r="C24" s="4" t="s">
        <v>3</v>
      </c>
      <c r="D24" s="4" t="s">
        <v>4</v>
      </c>
      <c r="E24" s="4" t="s">
        <v>5</v>
      </c>
    </row>
    <row r="25" spans="1:5" x14ac:dyDescent="0.2">
      <c r="A25" s="5" t="s">
        <v>7</v>
      </c>
      <c r="B25" s="6" t="str">
        <f ca="1">IFERROR(__xludf.DUMMYFUNCTION("SORT(UNIQUE(TOCOL(VSTACK(
LEFT(TRIM(FILTER(INDEX(PenyesuaianUnit3,0,5),REGEXMATCH(INDEX(PenyesuaianUnit3,0,5),""^\d-\d{4}""))),6),
LEFT(TRIM(FILTER(INDEX(PenyesuaianUnit3,0,7),REGEXMATCH(INDEX(PenyesuaianUnit3,0,7),""^\d-\d{4}""))),6)
),1)))"),"1-1520")</f>
        <v>1-1520</v>
      </c>
      <c r="C25" s="6" t="str">
        <f ca="1">IFERROR(__xludf.DUMMYFUNCTION("IF(B58="""","""",IFERROR(INDEX(FILTER(INDEX(TabelCOA,0,2),REGEXREPLACE(TRIM(CLEAN(SUBSTITUTE(TO_TEXT(INDEX(TabelCOA,0,1)),CHAR(160),"" ""))),""[–—−]"",""-"")=REGEXREPLACE(TRIM(CLEAN(SUBSTITUTE(TO_TEXT(B58),CHAR(160),"" ""))),""[–—−]"",""-"")),1),""CEK CoA"&amp;"""))"),"Biaya Dibayar di Muka")</f>
        <v>Biaya Dibayar di Muka</v>
      </c>
      <c r="D25" s="7">
        <f t="array" aca="1" ref="D25" ca="1">IF(B25="","",IFERROR(SUMIF(INDEX(PenyesuaianUnit3,0,5),TRIM($B25)&amp;"*",INDEX(PenyesuaianUnit3,0,6)),0))</f>
        <v>0</v>
      </c>
      <c r="E25" s="7">
        <f t="array" aca="1" ref="E25" ca="1">IF(B25="","",IFERROR(SUMIF(INDEX(PenyesuaianUnit3,0,7),TRIM($B25)&amp;"*",INDEX(PenyesuaianUnit3,0,8)),0))</f>
        <v>0</v>
      </c>
    </row>
    <row r="26" spans="1:5" x14ac:dyDescent="0.2">
      <c r="A26" s="5" t="s">
        <v>7</v>
      </c>
      <c r="B26" s="6" t="str">
        <f ca="1">IFERROR(__xludf.DUMMYFUNCTION("""COMPUTED_VALUE"""),"4-1300")</f>
        <v>4-1300</v>
      </c>
      <c r="C26" s="6" t="str">
        <f ca="1">IFERROR(__xludf.DUMMYFUNCTION("IF(B59="""","""",IFERROR(INDEX(FILTER(INDEX(TabelCOA,0,2),REGEXREPLACE(TRIM(CLEAN(SUBSTITUTE(TO_TEXT(INDEX(TabelCOA,0,1)),CHAR(160),"" ""))),""[–—−]"",""-"")=REGEXREPLACE(TRIM(CLEAN(SUBSTITUTE(TO_TEXT(B59),CHAR(160),"" ""))),""[–—−]"",""-"")),1),""CEK CoA"&amp;"""))"),"Pendapatan Jasa")</f>
        <v>Pendapatan Jasa</v>
      </c>
      <c r="D26" s="7">
        <f t="array" aca="1" ref="D26" ca="1">IF(B26="","",IFERROR(SUMIF(INDEX(PenyesuaianUnit3,0,5),TRIM($B26)&amp;"*",INDEX(PenyesuaianUnit3,0,6)),0))</f>
        <v>0</v>
      </c>
      <c r="E26" s="7">
        <f t="array" aca="1" ref="E26" ca="1">IF(B26="","",IFERROR(SUMIF(INDEX(PenyesuaianUnit3,0,7),TRIM($B26)&amp;"*",INDEX(PenyesuaianUnit3,0,8)),0))</f>
        <v>0</v>
      </c>
    </row>
    <row r="27" spans="1:5" x14ac:dyDescent="0.2">
      <c r="A27" s="5" t="s">
        <v>7</v>
      </c>
      <c r="B27" s="6" t="str">
        <f ca="1">IFERROR(__xludf.DUMMYFUNCTION("""COMPUTED_VALUE"""),"4-2300")</f>
        <v>4-2300</v>
      </c>
      <c r="C27" s="6" t="str">
        <f ca="1">IFERROR(__xludf.DUMMYFUNCTION("IF(B60="""","""",IFERROR(INDEX(FILTER(INDEX(TabelCOA,0,2),REGEXREPLACE(TRIM(CLEAN(SUBSTITUTE(TO_TEXT(INDEX(TabelCOA,0,1)),CHAR(160),"" ""))),""[–—−]"",""-"")=REGEXREPLACE(TRIM(CLEAN(SUBSTITUTE(TO_TEXT(B60),CHAR(160),"" ""))),""[–—−]"",""-"")),1),""CEK CoA"&amp;"""))"),"Pendapatan Lain-lain Non-Operasional")</f>
        <v>Pendapatan Lain-lain Non-Operasional</v>
      </c>
      <c r="D27" s="7">
        <f t="array" aca="1" ref="D27" ca="1">IF(B27="","",IFERROR(SUMIF(INDEX(PenyesuaianUnit3,0,5),TRIM($B27)&amp;"*",INDEX(PenyesuaianUnit3,0,6)),0))</f>
        <v>0</v>
      </c>
      <c r="E27" s="7">
        <f t="array" aca="1" ref="E27" ca="1">IF(B27="","",IFERROR(SUMIF(INDEX(PenyesuaianUnit3,0,7),TRIM($B27)&amp;"*",INDEX(PenyesuaianUnit3,0,8)),0))</f>
        <v>0</v>
      </c>
    </row>
    <row r="28" spans="1:5" x14ac:dyDescent="0.2">
      <c r="A28" s="5" t="s">
        <v>7</v>
      </c>
      <c r="B28" s="6" t="str">
        <f ca="1">IFERROR(__xludf.DUMMYFUNCTION("""COMPUTED_VALUE"""),"5-2200")</f>
        <v>5-2200</v>
      </c>
      <c r="C28" s="6" t="str">
        <f ca="1">IFERROR(__xludf.DUMMYFUNCTION("IF(B61="""","""",IFERROR(INDEX(FILTER(INDEX(TabelCOA,0,2),REGEXREPLACE(TRIM(CLEAN(SUBSTITUTE(TO_TEXT(INDEX(TabelCOA,0,1)),CHAR(160),"" ""))),""[–—−]"",""-"")=REGEXREPLACE(TRIM(CLEAN(SUBSTITUTE(TO_TEXT(B61),CHAR(160),"" ""))),""[–—−]"",""-"")),1),""CEK CoA"&amp;"""))"),"Beban Operasional")</f>
        <v>Beban Operasional</v>
      </c>
      <c r="D28" s="7">
        <f t="array" aca="1" ref="D28" ca="1">IF(B28="","",IFERROR(SUMIF(INDEX(PenyesuaianUnit3,0,5),TRIM($B28)&amp;"*",INDEX(PenyesuaianUnit3,0,6)),0))</f>
        <v>0</v>
      </c>
      <c r="E28" s="7">
        <f t="array" aca="1" ref="E28" ca="1">IF(B28="","",IFERROR(SUMIF(INDEX(PenyesuaianUnit3,0,7),TRIM($B28)&amp;"*",INDEX(PenyesuaianUnit3,0,8)),0))</f>
        <v>0</v>
      </c>
    </row>
    <row r="29" spans="1:5" x14ac:dyDescent="0.2">
      <c r="A29" s="5" t="s">
        <v>7</v>
      </c>
      <c r="B29" s="6" t="str">
        <f ca="1">IFERROR(__xludf.DUMMYFUNCTION("""COMPUTED_VALUE"""),"5-2212")</f>
        <v>5-2212</v>
      </c>
      <c r="C29" s="6" t="str">
        <f ca="1">IFERROR(__xludf.DUMMYFUNCTION("IF(B62="""","""",IFERROR(INDEX(FILTER(INDEX(TabelCOA,0,2),REGEXREPLACE(TRIM(CLEAN(SUBSTITUTE(TO_TEXT(INDEX(TabelCOA,0,1)),CHAR(160),"" ""))),""[–—−]"",""-"")=REGEXREPLACE(TRIM(CLEAN(SUBSTITUTE(TO_TEXT(B62),CHAR(160),"" ""))),""[–—−]"",""-"")),1),""CEK CoA"&amp;"""))"),"Beban Operasional Layanan Jasa Desa Prima")</f>
        <v>Beban Operasional Layanan Jasa Desa Prima</v>
      </c>
      <c r="D29" s="7">
        <f t="array" aca="1" ref="D29" ca="1">IF(B29="","",IFERROR(SUMIF(INDEX(PenyesuaianUnit3,0,5),TRIM($B29)&amp;"*",INDEX(PenyesuaianUnit3,0,6)),0))</f>
        <v>0</v>
      </c>
      <c r="E29" s="7">
        <f t="array" aca="1" ref="E29" ca="1">IF(B29="","",IFERROR(SUMIF(INDEX(PenyesuaianUnit3,0,7),TRIM($B29)&amp;"*",INDEX(PenyesuaianUnit3,0,8)),0))</f>
        <v>0</v>
      </c>
    </row>
    <row r="30" spans="1:5" x14ac:dyDescent="0.2">
      <c r="A30" s="5" t="s">
        <v>7</v>
      </c>
      <c r="B30" s="6" t="str">
        <f ca="1">IFERROR(__xludf.DUMMYFUNCTION("""COMPUTED_VALUE"""),"5-2600")</f>
        <v>5-2600</v>
      </c>
      <c r="C30" s="6" t="str">
        <f ca="1">IFERROR(__xludf.DUMMYFUNCTION("IF(B63="""","""",IFERROR(INDEX(FILTER(INDEX(TabelCOA,0,2),REGEXREPLACE(TRIM(CLEAN(SUBSTITUTE(TO_TEXT(INDEX(TabelCOA,0,1)),CHAR(160),"" ""))),""[–—−]"",""-"")=REGEXREPLACE(TRIM(CLEAN(SUBSTITUTE(TO_TEXT(B63),CHAR(160),"" ""))),""[–—−]"",""-"")),1),""CEK CoA"&amp;"""))"),"Beban Pemeliharaan dan Perbaikan")</f>
        <v>Beban Pemeliharaan dan Perbaikan</v>
      </c>
      <c r="D30" s="7">
        <f t="array" aca="1" ref="D30" ca="1">IF(B30="","",IFERROR(SUMIF(INDEX(PenyesuaianUnit3,0,5),TRIM($B30)&amp;"*",INDEX(PenyesuaianUnit3,0,6)),0))</f>
        <v>0</v>
      </c>
      <c r="E30" s="7">
        <f t="array" aca="1" ref="E30" ca="1">IF(B30="","",IFERROR(SUMIF(INDEX(PenyesuaianUnit3,0,7),TRIM($B30)&amp;"*",INDEX(PenyesuaianUnit3,0,8)),0))</f>
        <v>0</v>
      </c>
    </row>
    <row r="31" spans="1:5" x14ac:dyDescent="0.2">
      <c r="A31" s="13"/>
      <c r="B31" s="14"/>
      <c r="C31" s="14"/>
      <c r="D31" s="14"/>
      <c r="E31" s="14"/>
    </row>
    <row r="32" spans="1:5" x14ac:dyDescent="0.2">
      <c r="A32" s="8"/>
      <c r="B32" s="9"/>
      <c r="C32" s="9"/>
      <c r="D32" s="10">
        <f ca="1">SUM(D25:D31)</f>
        <v>0</v>
      </c>
      <c r="E32" s="9"/>
    </row>
    <row r="33" spans="1:5" x14ac:dyDescent="0.2">
      <c r="A33" s="8"/>
      <c r="B33" s="9"/>
      <c r="C33" s="9"/>
      <c r="D33" s="9"/>
      <c r="E33" s="11">
        <f ca="1">SUM(E25:E32)</f>
        <v>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PenyesuaianUnit1</vt:lpstr>
      <vt:lpstr>PenyesuaianUnit2</vt:lpstr>
      <vt:lpstr>PenyesuaianUnit3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2026-06-16T09:57:35Z</dcterms:created>
  <dcterms:modified xsi:type="dcterms:W3CDTF">2026-06-16T09:57:44Z</dcterms:modified>
</cp:coreProperties>
</file>