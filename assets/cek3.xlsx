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qmanaffandi/Desktop/"/>
    </mc:Choice>
  </mc:AlternateContent>
  <xr:revisionPtr revIDLastSave="0" documentId="8_{748CC12D-9A28-3F40-938C-7A89B1892E6F}" xr6:coauthVersionLast="47" xr6:coauthVersionMax="47" xr10:uidLastSave="{00000000-0000-0000-0000-000000000000}"/>
  <bookViews>
    <workbookView xWindow="380" yWindow="500" windowWidth="28040" windowHeight="16260" xr2:uid="{B3F83EF0-A431-AE4B-BB60-298882836CF3}"/>
  </bookViews>
  <sheets>
    <sheet name="Sheet1" sheetId="1" r:id="rId1"/>
  </sheets>
  <definedNames>
    <definedName name="JurnalUnit1">Sheet1!$A$6:$H$39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C20" i="1"/>
  <c r="B20" i="1"/>
  <c r="E20" i="1" s="1" a="1"/>
  <c r="E20" i="1" s="1"/>
  <c r="C19" i="1"/>
  <c r="B19" i="1"/>
  <c r="E19" i="1" s="1" a="1"/>
  <c r="E19" i="1" s="1"/>
  <c r="C18" i="1"/>
  <c r="B18" i="1"/>
  <c r="E18" i="1" s="1" a="1"/>
  <c r="E18" i="1" s="1"/>
  <c r="C17" i="1"/>
  <c r="B17" i="1"/>
  <c r="C16" i="1"/>
  <c r="B16" i="1"/>
  <c r="E16" i="1" s="1" a="1"/>
  <c r="E16" i="1" s="1"/>
  <c r="C15" i="1"/>
  <c r="B15" i="1"/>
  <c r="E15" i="1" s="1" a="1"/>
  <c r="E15" i="1" s="1"/>
  <c r="C14" i="1"/>
  <c r="B14" i="1"/>
  <c r="E14" i="1" s="1" a="1"/>
  <c r="E14" i="1" s="1"/>
  <c r="C13" i="1"/>
  <c r="B13" i="1"/>
  <c r="E12" i="1" a="1"/>
  <c r="E12" i="1" s="1"/>
  <c r="C12" i="1"/>
  <c r="B12" i="1"/>
  <c r="C11" i="1"/>
  <c r="B11" i="1"/>
  <c r="E11" i="1" s="1" a="1"/>
  <c r="E11" i="1" s="1"/>
  <c r="C10" i="1"/>
  <c r="B10" i="1"/>
  <c r="E10" i="1" s="1" a="1"/>
  <c r="E10" i="1" s="1"/>
  <c r="C9" i="1"/>
  <c r="B9" i="1"/>
  <c r="E8" i="1" a="1"/>
  <c r="E8" i="1" s="1"/>
  <c r="C8" i="1"/>
  <c r="B8" i="1"/>
  <c r="C7" i="1"/>
  <c r="B7" i="1"/>
  <c r="E7" i="1" s="1" a="1"/>
  <c r="E7" i="1" s="1"/>
  <c r="C6" i="1"/>
  <c r="B6" i="1"/>
  <c r="E6" i="1" s="1" a="1"/>
  <c r="E6" i="1" s="1"/>
  <c r="C5" i="1"/>
  <c r="B5" i="1"/>
  <c r="C4" i="1"/>
  <c r="B4" i="1"/>
  <c r="E4" i="1" s="1" a="1"/>
  <c r="E4" i="1" s="1"/>
  <c r="E5" i="1" l="1" a="1"/>
  <c r="E5" i="1" s="1"/>
  <c r="E9" i="1" a="1"/>
  <c r="E9" i="1" s="1"/>
  <c r="E13" i="1" a="1"/>
  <c r="E13" i="1" s="1"/>
  <c r="E17" i="1" a="1"/>
  <c r="E17" i="1" s="1"/>
  <c r="E22" i="1" l="1"/>
  <c r="D17" i="1" s="1" a="1"/>
  <c r="D17" i="1" s="1"/>
  <c r="D11" i="1" a="1"/>
  <c r="D11" i="1" s="1"/>
  <c r="D5" i="1" a="1"/>
  <c r="D5" i="1" s="1"/>
  <c r="D18" i="1" a="1"/>
  <c r="D18" i="1" s="1"/>
  <c r="D7" i="1" a="1"/>
  <c r="D7" i="1" s="1"/>
  <c r="D20" i="1" a="1"/>
  <c r="D20" i="1" s="1"/>
  <c r="D14" i="1" a="1"/>
  <c r="D14" i="1" s="1"/>
  <c r="D13" i="1" a="1"/>
  <c r="D13" i="1" s="1"/>
  <c r="D15" i="1" a="1"/>
  <c r="D15" i="1" s="1"/>
  <c r="D10" i="1" a="1"/>
  <c r="D10" i="1" s="1"/>
  <c r="D4" i="1" a="1"/>
  <c r="D4" i="1" s="1"/>
  <c r="D19" i="1" a="1"/>
  <c r="D19" i="1" s="1"/>
  <c r="D6" i="1" a="1"/>
  <c r="D6" i="1" s="1"/>
  <c r="D8" i="1" a="1"/>
  <c r="D8" i="1" s="1"/>
  <c r="D12" i="1" a="1"/>
  <c r="D12" i="1" s="1"/>
  <c r="D9" i="1" a="1"/>
  <c r="D9" i="1" s="1"/>
  <c r="D16" i="1" a="1"/>
  <c r="D16" i="1" s="1"/>
  <c r="D21" i="1" l="1"/>
</calcChain>
</file>

<file path=xl/sharedStrings.xml><?xml version="1.0" encoding="utf-8"?>
<sst xmlns="http://schemas.openxmlformats.org/spreadsheetml/2006/main" count="23" uniqueCount="7">
  <si>
    <t>Peternakan Telur Sejahtera</t>
  </si>
  <si>
    <t>Unit Usaha</t>
  </si>
  <si>
    <t>REKAPITULASI JURNAL</t>
  </si>
  <si>
    <t>Kode Akun</t>
  </si>
  <si>
    <t>Nama Akun</t>
  </si>
  <si>
    <t>Debit</t>
  </si>
  <si>
    <t>Kredit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</si>
</sst>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_-[$Rp-421]* #,##0.00_-;_-[$Rp-421]* \-#,##0.00_-;_-[$Rp-421]* &quot;-&quot;??_-;_-@"/>
    <numFmt numFmtId="169" formatCode="mm/dd/yyyy"/>
    <numFmt numFmtId="170" formatCode="[$Rp]#,##0"/>
    <numFmt numFmtId="171" formatCode="dd/mm/yyyy"/>
  </numFmts>
  <fonts count="6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70" fontId="3" fillId="0" borderId="1" xfId="0" applyNumberFormat="1" applyFont="1" applyBorder="1"/>
    <xf numFmtId="0" fontId="5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170" fontId="4" fillId="2" borderId="1" xfId="0" applyNumberFormat="1" applyFont="1" applyFill="1" applyBorder="1"/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170" fontId="1" fillId="0" borderId="0" xfId="0" applyNumberFormat="1" applyFont="1" applyFill="1" applyBorder="1" applyAlignment="1">
      <alignment horizontal="right"/>
    </xf>
    <xf numFmtId="170" fontId="1" fillId="0" borderId="0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right"/>
    </xf>
    <xf numFmtId="3" fontId="2" fillId="0" borderId="0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170" fontId="3" fillId="0" borderId="0" xfId="0" applyNumberFormat="1" applyFont="1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1" fontId="3" fillId="0" borderId="0" xfId="0" applyNumberFormat="1" applyFont="1" applyFill="1" applyBorder="1" applyAlignment="1">
      <alignment horizontal="center"/>
    </xf>
    <xf numFmtId="169" fontId="3" fillId="0" borderId="0" xfId="0" applyNumberFormat="1" applyFont="1" applyFill="1" applyBorder="1"/>
    <xf numFmtId="0" fontId="2" fillId="0" borderId="0" xfId="0" applyFont="1" applyFill="1" applyBorder="1" applyAlignment="1">
      <alignment horizontal="right"/>
    </xf>
    <xf numFmtId="168" fontId="2" fillId="0" borderId="0" xfId="0" applyNumberFormat="1" applyFont="1" applyFill="1" applyBorder="1" applyAlignment="1">
      <alignment horizontal="right"/>
    </xf>
    <xf numFmtId="4" fontId="2" fillId="0" borderId="0" xfId="0" applyNumberFormat="1" applyFont="1" applyFill="1" applyBorder="1" applyAlignment="1">
      <alignment horizontal="right"/>
    </xf>
    <xf numFmtId="3" fontId="2" fillId="0" borderId="0" xfId="0" applyNumberFormat="1" applyFont="1" applyFill="1" applyBorder="1" applyAlignment="1">
      <alignment horizontal="right"/>
    </xf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2EA5-1D8C-C148-9D77-A760693C703D}">
  <dimension ref="A1:AA22"/>
  <sheetViews>
    <sheetView tabSelected="1" workbookViewId="0">
      <selection activeCell="I10" sqref="I10"/>
    </sheetView>
  </sheetViews>
  <sheetFormatPr baseColWidth="10" defaultRowHeight="16" x14ac:dyDescent="0.2"/>
  <sheetData>
    <row r="1" spans="1:27" x14ac:dyDescent="0.2">
      <c r="A1" s="6" t="s">
        <v>2</v>
      </c>
      <c r="B1" s="1"/>
      <c r="C1" s="1"/>
      <c r="D1" s="1"/>
      <c r="E1" s="1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10"/>
      <c r="T1" s="10"/>
      <c r="U1" s="10"/>
      <c r="V1" s="10"/>
      <c r="W1" s="10"/>
      <c r="X1" s="10"/>
      <c r="Y1" s="10"/>
      <c r="Z1" s="10"/>
      <c r="AA1" s="10"/>
    </row>
    <row r="2" spans="1:27" x14ac:dyDescent="0.2">
      <c r="A2" s="2"/>
      <c r="B2" s="2"/>
      <c r="C2" s="2"/>
      <c r="D2" s="2"/>
      <c r="E2" s="2"/>
      <c r="F2" s="12"/>
      <c r="G2" s="13"/>
      <c r="H2" s="13"/>
      <c r="I2" s="14"/>
      <c r="J2" s="11"/>
      <c r="K2" s="12"/>
      <c r="L2" s="12"/>
      <c r="M2" s="12"/>
      <c r="N2" s="15"/>
      <c r="O2" s="15"/>
      <c r="P2" s="15"/>
      <c r="Q2" s="16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x14ac:dyDescent="0.2">
      <c r="A3" s="7" t="s">
        <v>1</v>
      </c>
      <c r="B3" s="7" t="s">
        <v>3</v>
      </c>
      <c r="C3" s="7" t="s">
        <v>4</v>
      </c>
      <c r="D3" s="7" t="s">
        <v>5</v>
      </c>
      <c r="E3" s="7" t="s">
        <v>6</v>
      </c>
      <c r="F3" s="12"/>
      <c r="G3" s="13"/>
      <c r="H3" s="13"/>
      <c r="I3" s="14"/>
      <c r="J3" s="11"/>
      <c r="K3" s="12"/>
      <c r="L3" s="12"/>
      <c r="M3" s="12"/>
      <c r="N3" s="15"/>
      <c r="O3" s="15"/>
      <c r="P3" s="15"/>
      <c r="Q3" s="16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x14ac:dyDescent="0.2">
      <c r="A4" s="3" t="s">
        <v>0</v>
      </c>
      <c r="B4" s="4" t="str">
        <f ca="1">IFERROR(__xludf.DUMMYFUNCTION("SORT(UNIQUE(TOCOL(VSTACK(LEFT(TRIM(FILTER(INDEX(JurnalUnit1,0,5),INDEX(JurnalUnit1,0,5)&lt;&gt;"""")),6),LEFT(TRIM(FILTER(INDEX(JurnalUnit1,0,7),INDEX(JurnalUnit1,0,7)&lt;&gt;"""")),6)),1)))"),"1-1110")</f>
        <v>1-1110</v>
      </c>
      <c r="C4" s="3" t="str">
        <f ca="1">IFERROR(__xludf.DUMMYFUNCTION("IF(B133="""","""",IFERROR(INDEX(FILTER(INDEX(TabelCOA,0,2),REGEXREPLACE(TRIM(CLEAN(SUBSTITUTE(TO_TEXT(INDEX(TabelCOA,0,1)),CHAR(160),"" ""))),""[–—−]"",""-"")=REGEXREPLACE(TRIM(CLEAN(SUBSTITUTE(TO_TEXT(B133),CHAR(160),"" ""))),""[–—−]"",""-"")),1),""CEK C"&amp;"oA""))"),"Kas")</f>
        <v>Kas</v>
      </c>
      <c r="D4" s="5">
        <f t="array" aca="1" ref="D4" ca="1">IF(B4="","",IFERROR(SUMIF(INDEX(JurnalUnit1,0,5),TRIM($B4)&amp;"*",INDEX(JurnalUnit1,0,6)),0))</f>
        <v>0</v>
      </c>
      <c r="E4" s="5">
        <f t="array" aca="1" ref="E4" ca="1">IF(B4="","",IFERROR(SUMIF(INDEX(JurnalUnit1,0,7),TRIM($B4)&amp;"*",INDEX(JurnalUnit1,0,8)),0))</f>
        <v>0</v>
      </c>
      <c r="F4" s="17"/>
      <c r="G4" s="19"/>
      <c r="H4" s="17"/>
      <c r="I4" s="17"/>
      <c r="J4" s="18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0"/>
      <c r="W4" s="10"/>
      <c r="X4" s="10"/>
      <c r="Y4" s="10"/>
      <c r="Z4" s="10"/>
      <c r="AA4" s="10"/>
    </row>
    <row r="5" spans="1:27" x14ac:dyDescent="0.2">
      <c r="A5" s="3" t="s">
        <v>0</v>
      </c>
      <c r="B5" s="4" t="str">
        <f ca="1">IFERROR(__xludf.DUMMYFUNCTION("""COMPUTED_VALUE"""),"1-1210")</f>
        <v>1-1210</v>
      </c>
      <c r="C5" s="3" t="str">
        <f ca="1">IFERROR(__xludf.DUMMYFUNCTION("IF(B134="""","""",IFERROR(INDEX(FILTER(INDEX(TabelCOA,0,2),REGEXREPLACE(TRIM(CLEAN(SUBSTITUTE(TO_TEXT(INDEX(TabelCOA,0,1)),CHAR(160),"" ""))),""[–—−]"",""-"")=REGEXREPLACE(TRIM(CLEAN(SUBSTITUTE(TO_TEXT(B134),CHAR(160),"" ""))),""[–—−]"",""-"")),1),""CEK C"&amp;"oA""))"),"Bank BRI")</f>
        <v>Bank BRI</v>
      </c>
      <c r="D5" s="5">
        <f t="array" aca="1" ref="D5" ca="1">IF(B5="","",IFERROR(SUMIF(INDEX(JurnalUnit1,0,5),TRIM($B5)&amp;"*",INDEX(JurnalUnit1,0,6)),0))</f>
        <v>0</v>
      </c>
      <c r="E5" s="5">
        <f t="array" aca="1" ref="E5" ca="1">IF(B5="","",IFERROR(SUMIF(INDEX(JurnalUnit1,0,7),TRIM($B5)&amp;"*",INDEX(JurnalUnit1,0,8)),0))</f>
        <v>0</v>
      </c>
      <c r="F5" s="17"/>
      <c r="G5" s="17"/>
      <c r="H5" s="17"/>
      <c r="I5" s="17"/>
      <c r="J5" s="18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0"/>
      <c r="X5" s="10"/>
      <c r="Y5" s="10"/>
      <c r="Z5" s="10"/>
      <c r="AA5" s="10"/>
    </row>
    <row r="6" spans="1:27" x14ac:dyDescent="0.2">
      <c r="A6" s="3" t="s">
        <v>0</v>
      </c>
      <c r="B6" s="4" t="str">
        <f ca="1">IFERROR(__xludf.DUMMYFUNCTION("""COMPUTED_VALUE"""),"1-1420")</f>
        <v>1-1420</v>
      </c>
      <c r="C6" s="3" t="str">
        <f ca="1">IFERROR(__xludf.DUMMYFUNCTION("IF(B135="""","""",IFERROR(INDEX(FILTER(INDEX(TabelCOA,0,2),REGEXREPLACE(TRIM(CLEAN(SUBSTITUTE(TO_TEXT(INDEX(TabelCOA,0,1)),CHAR(160),"" ""))),""[–—−]"",""-"")=REGEXREPLACE(TRIM(CLEAN(SUBSTITUTE(TO_TEXT(B135),CHAR(160),"" ""))),""[–—−]"",""-"")),1),""CEK C"&amp;"oA""))"),"Persediaan Barang Jadi")</f>
        <v>Persediaan Barang Jadi</v>
      </c>
      <c r="D6" s="5">
        <f t="array" aca="1" ref="D6" ca="1">IF(B6="","",IFERROR(SUMIF(INDEX(JurnalUnit1,0,5),TRIM($B6)&amp;"*",INDEX(JurnalUnit1,0,6)),0))</f>
        <v>0</v>
      </c>
      <c r="E6" s="5">
        <f t="array" aca="1" ref="E6" ca="1">IF(B6="","",IFERROR(SUMIF(INDEX(JurnalUnit1,0,7),TRIM($B6)&amp;"*",INDEX(JurnalUnit1,0,8)),0))</f>
        <v>0</v>
      </c>
      <c r="F6" s="20"/>
      <c r="G6" s="20"/>
      <c r="H6" s="20"/>
      <c r="I6" s="20"/>
      <c r="J6" s="21"/>
      <c r="K6" s="20"/>
      <c r="L6" s="20"/>
      <c r="M6" s="20"/>
      <c r="N6" s="20"/>
      <c r="O6" s="20"/>
      <c r="P6" s="20"/>
      <c r="Q6" s="20"/>
      <c r="R6" s="20"/>
      <c r="S6" s="21"/>
      <c r="T6" s="20"/>
      <c r="U6" s="20"/>
      <c r="V6" s="20"/>
      <c r="W6" s="10"/>
      <c r="X6" s="10"/>
      <c r="Y6" s="10"/>
      <c r="Z6" s="10"/>
      <c r="AA6" s="10"/>
    </row>
    <row r="7" spans="1:27" x14ac:dyDescent="0.2">
      <c r="A7" s="3" t="s">
        <v>0</v>
      </c>
      <c r="B7" s="4" t="str">
        <f ca="1">IFERROR(__xludf.DUMMYFUNCTION("""COMPUTED_VALUE"""),"1-2020")</f>
        <v>1-2020</v>
      </c>
      <c r="C7" s="3" t="str">
        <f ca="1">IFERROR(__xludf.DUMMYFUNCTION("IF(B136="""","""",IFERROR(INDEX(FILTER(INDEX(TabelCOA,0,2),REGEXREPLACE(TRIM(CLEAN(SUBSTITUTE(TO_TEXT(INDEX(TabelCOA,0,1)),CHAR(160),"" ""))),""[–—−]"",""-"")=REGEXREPLACE(TRIM(CLEAN(SUBSTITUTE(TO_TEXT(B136),CHAR(160),"" ""))),""[–—−]"",""-"")),1),""CEK C"&amp;"oA""))"),"Bangunan")</f>
        <v>Bangunan</v>
      </c>
      <c r="D7" s="5">
        <f t="array" aca="1" ref="D7" ca="1">IF(B7="","",IFERROR(SUMIF(INDEX(JurnalUnit1,0,5),TRIM($B7)&amp;"*",INDEX(JurnalUnit1,0,6)),0))</f>
        <v>0</v>
      </c>
      <c r="E7" s="5">
        <f t="array" aca="1" ref="E7" ca="1">IF(B7="","",IFERROR(SUMIF(INDEX(JurnalUnit1,0,7),TRIM($B7)&amp;"*",INDEX(JurnalUnit1,0,8)),0))</f>
        <v>0</v>
      </c>
      <c r="F7" s="17"/>
      <c r="G7" s="19"/>
      <c r="H7" s="19"/>
      <c r="I7" s="19"/>
      <c r="J7" s="22"/>
      <c r="K7" s="17"/>
      <c r="L7" s="17"/>
      <c r="M7" s="17"/>
      <c r="N7" s="19"/>
      <c r="O7" s="19"/>
      <c r="P7" s="19"/>
      <c r="Q7" s="19"/>
      <c r="R7" s="17"/>
      <c r="S7" s="23"/>
      <c r="T7" s="17"/>
      <c r="U7" s="17"/>
      <c r="V7" s="17"/>
      <c r="W7" s="10"/>
      <c r="X7" s="10"/>
      <c r="Y7" s="10"/>
      <c r="Z7" s="10"/>
      <c r="AA7" s="10"/>
    </row>
    <row r="8" spans="1:27" x14ac:dyDescent="0.2">
      <c r="A8" s="3" t="s">
        <v>0</v>
      </c>
      <c r="B8" s="4" t="str">
        <f ca="1">IFERROR(__xludf.DUMMYFUNCTION("""COMPUTED_VALUE"""),"1-2040")</f>
        <v>1-2040</v>
      </c>
      <c r="C8" s="3" t="str">
        <f ca="1">IFERROR(__xludf.DUMMYFUNCTION("IF(B137="""","""",IFERROR(INDEX(FILTER(INDEX(TabelCOA,0,2),REGEXREPLACE(TRIM(CLEAN(SUBSTITUTE(TO_TEXT(INDEX(TabelCOA,0,1)),CHAR(160),"" ""))),""[–—−]"",""-"")=REGEXREPLACE(TRIM(CLEAN(SUBSTITUTE(TO_TEXT(B137),CHAR(160),"" ""))),""[–—−]"",""-"")),1),""CEK C"&amp;"oA""))"),"Peralatan dan Mesin")</f>
        <v>Peralatan dan Mesin</v>
      </c>
      <c r="D8" s="5">
        <f t="array" aca="1" ref="D8" ca="1">IF(B8="","",IFERROR(SUMIF(INDEX(JurnalUnit1,0,5),TRIM($B8)&amp;"*",INDEX(JurnalUnit1,0,6)),0))</f>
        <v>0</v>
      </c>
      <c r="E8" s="5">
        <f t="array" aca="1" ref="E8" ca="1">IF(B8="","",IFERROR(SUMIF(INDEX(JurnalUnit1,0,7),TRIM($B8)&amp;"*",INDEX(JurnalUnit1,0,8)),0))</f>
        <v>0</v>
      </c>
      <c r="F8" s="17"/>
      <c r="G8" s="19"/>
      <c r="H8" s="19"/>
      <c r="I8" s="19"/>
      <c r="J8" s="22"/>
      <c r="K8" s="17"/>
      <c r="L8" s="17"/>
      <c r="M8" s="17"/>
      <c r="N8" s="19"/>
      <c r="O8" s="19"/>
      <c r="P8" s="19"/>
      <c r="Q8" s="19"/>
      <c r="R8" s="17"/>
      <c r="S8" s="17"/>
      <c r="T8" s="17"/>
      <c r="U8" s="17"/>
      <c r="V8" s="17"/>
      <c r="W8" s="10"/>
      <c r="X8" s="10"/>
      <c r="Y8" s="10"/>
      <c r="Z8" s="10"/>
      <c r="AA8" s="10"/>
    </row>
    <row r="9" spans="1:27" x14ac:dyDescent="0.2">
      <c r="A9" s="3" t="s">
        <v>0</v>
      </c>
      <c r="B9" s="4" t="str">
        <f ca="1">IFERROR(__xludf.DUMMYFUNCTION("""COMPUTED_VALUE"""),"1-2091")</f>
        <v>1-2091</v>
      </c>
      <c r="C9" s="3" t="str">
        <f ca="1">IFERROR(__xludf.DUMMYFUNCTION("IF(B138="""","""",IFERROR(INDEX(FILTER(INDEX(TabelCOA,0,2),REGEXREPLACE(TRIM(CLEAN(SUBSTITUTE(TO_TEXT(INDEX(TabelCOA,0,1)),CHAR(160),"" ""))),""[–—−]"",""-"")=REGEXREPLACE(TRIM(CLEAN(SUBSTITUTE(TO_TEXT(B138),CHAR(160),"" ""))),""[–—−]"",""-"")),1),""CEK C"&amp;"oA""))"),"Akumulasi Penyusutan Bangunan")</f>
        <v>Akumulasi Penyusutan Bangunan</v>
      </c>
      <c r="D9" s="5">
        <f t="array" aca="1" ref="D9" ca="1">IF(B9="","",IFERROR(SUMIF(INDEX(JurnalUnit1,0,5),TRIM($B9)&amp;"*",INDEX(JurnalUnit1,0,6)),0))</f>
        <v>0</v>
      </c>
      <c r="E9" s="5">
        <f t="array" aca="1" ref="E9" ca="1">IF(B9="","",IFERROR(SUMIF(INDEX(JurnalUnit1,0,7),TRIM($B9)&amp;"*",INDEX(JurnalUnit1,0,8)),0))</f>
        <v>0</v>
      </c>
      <c r="F9" s="17"/>
      <c r="G9" s="19"/>
      <c r="H9" s="19"/>
      <c r="I9" s="19"/>
      <c r="J9" s="22"/>
      <c r="K9" s="17"/>
      <c r="L9" s="17"/>
      <c r="M9" s="17"/>
      <c r="N9" s="19"/>
      <c r="O9" s="19"/>
      <c r="P9" s="19"/>
      <c r="Q9" s="19"/>
      <c r="R9" s="17"/>
      <c r="S9" s="17"/>
      <c r="T9" s="17"/>
      <c r="U9" s="17"/>
      <c r="V9" s="17"/>
      <c r="W9" s="10"/>
      <c r="X9" s="10"/>
      <c r="Y9" s="10"/>
      <c r="Z9" s="10"/>
      <c r="AA9" s="10"/>
    </row>
    <row r="10" spans="1:27" x14ac:dyDescent="0.2">
      <c r="A10" s="3" t="s">
        <v>0</v>
      </c>
      <c r="B10" s="4" t="str">
        <f ca="1">IFERROR(__xludf.DUMMYFUNCTION("""COMPUTED_VALUE"""),"2-0100")</f>
        <v>2-0100</v>
      </c>
      <c r="C10" s="3" t="str">
        <f ca="1">IFERROR(__xludf.DUMMYFUNCTION("IF(B139="""","""",IFERROR(INDEX(FILTER(INDEX(TabelCOA,0,2),REGEXREPLACE(TRIM(CLEAN(SUBSTITUTE(TO_TEXT(INDEX(TabelCOA,0,1)),CHAR(160),"" ""))),""[–—−]"",""-"")=REGEXREPLACE(TRIM(CLEAN(SUBSTITUTE(TO_TEXT(B139),CHAR(160),"" ""))),""[–—−]"",""-"")),1),""CEK C"&amp;"oA""))"),"Utang Usaha")</f>
        <v>Utang Usaha</v>
      </c>
      <c r="D10" s="5">
        <f t="array" aca="1" ref="D10" ca="1">IF(B10="","",IFERROR(SUMIF(INDEX(JurnalUnit1,0,5),TRIM($B10)&amp;"*",INDEX(JurnalUnit1,0,6)),0))</f>
        <v>0</v>
      </c>
      <c r="E10" s="5">
        <f t="array" aca="1" ref="E10" ca="1">IF(B10="","",IFERROR(SUMIF(INDEX(JurnalUnit1,0,7),TRIM($B10)&amp;"*",INDEX(JurnalUnit1,0,8)),0))</f>
        <v>0</v>
      </c>
      <c r="F10" s="17"/>
      <c r="G10" s="19"/>
      <c r="H10" s="19"/>
      <c r="I10" s="19"/>
      <c r="J10" s="22"/>
      <c r="K10" s="17"/>
      <c r="L10" s="17"/>
      <c r="M10" s="17"/>
      <c r="N10" s="19"/>
      <c r="O10" s="19"/>
      <c r="P10" s="19"/>
      <c r="Q10" s="19"/>
      <c r="R10" s="17"/>
      <c r="S10" s="17"/>
      <c r="T10" s="17"/>
      <c r="U10" s="17"/>
      <c r="V10" s="17"/>
      <c r="W10" s="10"/>
      <c r="X10" s="10"/>
      <c r="Y10" s="10"/>
      <c r="Z10" s="10"/>
      <c r="AA10" s="10"/>
    </row>
    <row r="11" spans="1:27" x14ac:dyDescent="0.2">
      <c r="A11" s="3" t="s">
        <v>0</v>
      </c>
      <c r="B11" s="4" t="str">
        <f ca="1">IFERROR(__xludf.DUMMYFUNCTION("""COMPUTED_VALUE"""),"3-1100")</f>
        <v>3-1100</v>
      </c>
      <c r="C11" s="3" t="str">
        <f ca="1">IFERROR(__xludf.DUMMYFUNCTION("IF(B140="""","""",IFERROR(INDEX(FILTER(INDEX(TabelCOA,0,2),REGEXREPLACE(TRIM(CLEAN(SUBSTITUTE(TO_TEXT(INDEX(TabelCOA,0,1)),CHAR(160),"" ""))),""[–—−]"",""-"")=REGEXREPLACE(TRIM(CLEAN(SUBSTITUTE(TO_TEXT(B140),CHAR(160),"" ""))),""[–—−]"",""-"")),1),""CEK C"&amp;"oA""))"),"Penyertaan Modal Desa")</f>
        <v>Penyertaan Modal Desa</v>
      </c>
      <c r="D11" s="5">
        <f t="array" aca="1" ref="D11" ca="1">IF(B11="","",IFERROR(SUMIF(INDEX(JurnalUnit1,0,5),TRIM($B11)&amp;"*",INDEX(JurnalUnit1,0,6)),0))</f>
        <v>0</v>
      </c>
      <c r="E11" s="5">
        <f t="array" aca="1" ref="E11" ca="1">IF(B11="","",IFERROR(SUMIF(INDEX(JurnalUnit1,0,7),TRIM($B11)&amp;"*",INDEX(JurnalUnit1,0,8)),0))</f>
        <v>0</v>
      </c>
      <c r="F11" s="17"/>
      <c r="G11" s="19"/>
      <c r="H11" s="19"/>
      <c r="I11" s="19"/>
      <c r="J11" s="22"/>
      <c r="K11" s="17"/>
      <c r="L11" s="17"/>
      <c r="M11" s="17"/>
      <c r="N11" s="19"/>
      <c r="O11" s="19"/>
      <c r="P11" s="19"/>
      <c r="Q11" s="19"/>
      <c r="R11" s="17"/>
      <c r="S11" s="17"/>
      <c r="T11" s="17"/>
      <c r="U11" s="17"/>
      <c r="V11" s="17"/>
      <c r="W11" s="10"/>
      <c r="X11" s="10"/>
      <c r="Y11" s="10"/>
      <c r="Z11" s="10"/>
      <c r="AA11" s="10"/>
    </row>
    <row r="12" spans="1:27" x14ac:dyDescent="0.2">
      <c r="A12" s="3" t="s">
        <v>0</v>
      </c>
      <c r="B12" s="4" t="str">
        <f ca="1">IFERROR(__xludf.DUMMYFUNCTION("""COMPUTED_VALUE"""),"3-1700")</f>
        <v>3-1700</v>
      </c>
      <c r="C12" s="3" t="str">
        <f ca="1">IFERROR(__xludf.DUMMYFUNCTION("IF(B141="""","""",IFERROR(INDEX(FILTER(INDEX(TabelCOA,0,2),REGEXREPLACE(TRIM(CLEAN(SUBSTITUTE(TO_TEXT(INDEX(TabelCOA,0,1)),CHAR(160),"" ""))),""[–—−]"",""-"")=REGEXREPLACE(TRIM(CLEAN(SUBSTITUTE(TO_TEXT(B141),CHAR(160),"" ""))),""[–—−]"",""-"")),1),""CEK C"&amp;"oA""))"),"Bagi Hasil untuk Desa")</f>
        <v>Bagi Hasil untuk Desa</v>
      </c>
      <c r="D12" s="5">
        <f t="array" aca="1" ref="D12" ca="1">IF(B12="","",IFERROR(SUMIF(INDEX(JurnalUnit1,0,5),TRIM($B12)&amp;"*",INDEX(JurnalUnit1,0,6)),0))</f>
        <v>0</v>
      </c>
      <c r="E12" s="5">
        <f t="array" aca="1" ref="E12" ca="1">IF(B12="","",IFERROR(SUMIF(INDEX(JurnalUnit1,0,7),TRIM($B12)&amp;"*",INDEX(JurnalUnit1,0,8)),0))</f>
        <v>0</v>
      </c>
      <c r="F12" s="25"/>
      <c r="G12" s="24"/>
      <c r="H12" s="25"/>
      <c r="I12" s="25"/>
      <c r="J12" s="24"/>
      <c r="K12" s="26"/>
      <c r="L12" s="27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x14ac:dyDescent="0.2">
      <c r="A13" s="3" t="s">
        <v>0</v>
      </c>
      <c r="B13" s="4" t="str">
        <f ca="1">IFERROR(__xludf.DUMMYFUNCTION("""COMPUTED_VALUE"""),"4-1200")</f>
        <v>4-1200</v>
      </c>
      <c r="C13" s="3" t="str">
        <f ca="1">IFERROR(__xludf.DUMMYFUNCTION("IF(B142="""","""",IFERROR(INDEX(FILTER(INDEX(TabelCOA,0,2),REGEXREPLACE(TRIM(CLEAN(SUBSTITUTE(TO_TEXT(INDEX(TabelCOA,0,1)),CHAR(160),"" ""))),""[–—−]"",""-"")=REGEXREPLACE(TRIM(CLEAN(SUBSTITUTE(TO_TEXT(B142),CHAR(160),"" ""))),""[–—−]"",""-"")),1),""CEK C"&amp;"oA""))"),"Pendapatan Penjualan Hasil Produksi")</f>
        <v>Pendapatan Penjualan Hasil Produksi</v>
      </c>
      <c r="D13" s="5">
        <f t="array" aca="1" ref="D13" ca="1">IF(B13="","",IFERROR(SUMIF(INDEX(JurnalUnit1,0,5),TRIM($B13)&amp;"*",INDEX(JurnalUnit1,0,6)),0))</f>
        <v>0</v>
      </c>
      <c r="E13" s="5">
        <f t="array" aca="1" ref="E13" ca="1">IF(B13="","",IFERROR(SUMIF(INDEX(JurnalUnit1,0,7),TRIM($B13)&amp;"*",INDEX(JurnalUnit1,0,8)),0))</f>
        <v>0</v>
      </c>
      <c r="F13" s="25"/>
      <c r="G13" s="24"/>
      <c r="H13" s="25"/>
      <c r="I13" s="25"/>
      <c r="J13" s="24"/>
      <c r="K13" s="26"/>
      <c r="L13" s="27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x14ac:dyDescent="0.2">
      <c r="A14" s="3" t="s">
        <v>0</v>
      </c>
      <c r="B14" s="4" t="str">
        <f ca="1">IFERROR(__xludf.DUMMYFUNCTION("""COMPUTED_VALUE"""),"5-1200")</f>
        <v>5-1200</v>
      </c>
      <c r="C14" s="3" t="str">
        <f ca="1">IFERROR(__xludf.DUMMYFUNCTION("IF(B143="""","""",IFERROR(INDEX(FILTER(INDEX(TabelCOA,0,2),REGEXREPLACE(TRIM(CLEAN(SUBSTITUTE(TO_TEXT(INDEX(TabelCOA,0,1)),CHAR(160),"" ""))),""[–—−]"",""-"")=REGEXREPLACE(TRIM(CLEAN(SUBSTITUTE(TO_TEXT(B143),CHAR(160),"" ""))),""[–—−]"",""-"")),1),""CEK C"&amp;"oA""))"),"HPP Barang Jadi / Hasil Produksi")</f>
        <v>HPP Barang Jadi / Hasil Produksi</v>
      </c>
      <c r="D14" s="5">
        <f t="array" aca="1" ref="D14" ca="1">IF(B14="","",IFERROR(SUMIF(INDEX(JurnalUnit1,0,5),TRIM($B14)&amp;"*",INDEX(JurnalUnit1,0,6)),0))</f>
        <v>0</v>
      </c>
      <c r="E14" s="5">
        <f t="array" aca="1" ref="E14" ca="1">IF(B14="","",IFERROR(SUMIF(INDEX(JurnalUnit1,0,7),TRIM($B14)&amp;"*",INDEX(JurnalUnit1,0,8)),0))</f>
        <v>0</v>
      </c>
      <c r="F14" s="25"/>
      <c r="G14" s="24"/>
      <c r="H14" s="25"/>
      <c r="I14" s="25"/>
      <c r="J14" s="24"/>
      <c r="K14" s="26"/>
      <c r="L14" s="27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x14ac:dyDescent="0.2">
      <c r="A15" s="3" t="s">
        <v>0</v>
      </c>
      <c r="B15" s="4" t="str">
        <f ca="1">IFERROR(__xludf.DUMMYFUNCTION("""COMPUTED_VALUE"""),"5-2100")</f>
        <v>5-2100</v>
      </c>
      <c r="C15" s="3" t="str">
        <f ca="1">IFERROR(__xludf.DUMMYFUNCTION("IF(B144="""","""",IFERROR(INDEX(FILTER(INDEX(TabelCOA,0,2),REGEXREPLACE(TRIM(CLEAN(SUBSTITUTE(TO_TEXT(INDEX(TabelCOA,0,1)),CHAR(160),"" ""))),""[–—−]"",""-"")=REGEXREPLACE(TRIM(CLEAN(SUBSTITUTE(TO_TEXT(B144),CHAR(160),"" ""))),""[–—−]"",""-"")),1),""CEK C"&amp;"oA""))"),"Beban Produksi Langsung")</f>
        <v>Beban Produksi Langsung</v>
      </c>
      <c r="D15" s="5">
        <f t="array" aca="1" ref="D15" ca="1">IF(B15="","",IFERROR(SUMIF(INDEX(JurnalUnit1,0,5),TRIM($B15)&amp;"*",INDEX(JurnalUnit1,0,6)),0))</f>
        <v>0</v>
      </c>
      <c r="E15" s="5">
        <f t="array" aca="1" ref="E15" ca="1">IF(B15="","",IFERROR(SUMIF(INDEX(JurnalUnit1,0,7),TRIM($B15)&amp;"*",INDEX(JurnalUnit1,0,8)),0))</f>
        <v>0</v>
      </c>
      <c r="F15" s="25"/>
      <c r="G15" s="24"/>
      <c r="H15" s="25"/>
      <c r="I15" s="25"/>
      <c r="J15" s="24"/>
      <c r="K15" s="26"/>
      <c r="L15" s="27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x14ac:dyDescent="0.2">
      <c r="A16" s="3" t="s">
        <v>0</v>
      </c>
      <c r="B16" s="4" t="str">
        <f ca="1">IFERROR(__xludf.DUMMYFUNCTION("""COMPUTED_VALUE"""),"5-2210")</f>
        <v>5-2210</v>
      </c>
      <c r="C16" s="3" t="str">
        <f ca="1">IFERROR(__xludf.DUMMYFUNCTION("IF(B145="""","""",IFERROR(INDEX(FILTER(INDEX(TabelCOA,0,2),REGEXREPLACE(TRIM(CLEAN(SUBSTITUTE(TO_TEXT(INDEX(TabelCOA,0,1)),CHAR(160),"" ""))),""[–—−]"",""-"")=REGEXREPLACE(TRIM(CLEAN(SUBSTITUTE(TO_TEXT(B145),CHAR(160),"" ""))),""[–—−]"",""-"")),1),""CEK C"&amp;"oA""))"),"Beban Operasional Peternakan Ayam Petelur")</f>
        <v>Beban Operasional Peternakan Ayam Petelur</v>
      </c>
      <c r="D16" s="5">
        <f t="array" aca="1" ref="D16" ca="1">IF(B16="","",IFERROR(SUMIF(INDEX(JurnalUnit1,0,5),TRIM($B16)&amp;"*",INDEX(JurnalUnit1,0,6)),0))</f>
        <v>0</v>
      </c>
      <c r="E16" s="5">
        <f t="array" aca="1" ref="E16" ca="1">IF(B16="","",IFERROR(SUMIF(INDEX(JurnalUnit1,0,7),TRIM($B16)&amp;"*",INDEX(JurnalUnit1,0,8)),0))</f>
        <v>0</v>
      </c>
    </row>
    <row r="17" spans="1:5" x14ac:dyDescent="0.2">
      <c r="A17" s="3" t="s">
        <v>0</v>
      </c>
      <c r="B17" s="4" t="str">
        <f ca="1">IFERROR(__xludf.DUMMYFUNCTION("""COMPUTED_VALUE"""),"5-2300")</f>
        <v>5-2300</v>
      </c>
      <c r="C17" s="3" t="str">
        <f ca="1">IFERROR(__xludf.DUMMYFUNCTION("IF(B146="""","""",IFERROR(INDEX(FILTER(INDEX(TabelCOA,0,2),REGEXREPLACE(TRIM(CLEAN(SUBSTITUTE(TO_TEXT(INDEX(TabelCOA,0,1)),CHAR(160),"" ""))),""[–—−]"",""-"")=REGEXREPLACE(TRIM(CLEAN(SUBSTITUTE(TO_TEXT(B146),CHAR(160),"" ""))),""[–—−]"",""-"")),1),""CEK C"&amp;"oA""))"),"Beban Pegawai")</f>
        <v>Beban Pegawai</v>
      </c>
      <c r="D17" s="5">
        <f t="array" aca="1" ref="D17" ca="1">IF(B17="","",IFERROR(SUMIF(INDEX(JurnalUnit1,0,5),TRIM($B17)&amp;"*",INDEX(JurnalUnit1,0,6)),0))</f>
        <v>0</v>
      </c>
      <c r="E17" s="5">
        <f t="array" aca="1" ref="E17" ca="1">IF(B17="","",IFERROR(SUMIF(INDEX(JurnalUnit1,0,7),TRIM($B17)&amp;"*",INDEX(JurnalUnit1,0,8)),0))</f>
        <v>0</v>
      </c>
    </row>
    <row r="18" spans="1:5" x14ac:dyDescent="0.2">
      <c r="A18" s="3" t="s">
        <v>0</v>
      </c>
      <c r="B18" s="4" t="str">
        <f ca="1">IFERROR(__xludf.DUMMYFUNCTION("""COMPUTED_VALUE"""),"5-2400")</f>
        <v>5-2400</v>
      </c>
      <c r="C18" s="3" t="str">
        <f ca="1">IFERROR(__xludf.DUMMYFUNCTION("IF(B147="""","""",IFERROR(INDEX(FILTER(INDEX(TabelCOA,0,2),REGEXREPLACE(TRIM(CLEAN(SUBSTITUTE(TO_TEXT(INDEX(TabelCOA,0,1)),CHAR(160),"" ""))),""[–—−]"",""-"")=REGEXREPLACE(TRIM(CLEAN(SUBSTITUTE(TO_TEXT(B147),CHAR(160),"" ""))),""[–—−]"",""-"")),1),""CEK C"&amp;"oA""))"),"Beban Administrasi dan Umum")</f>
        <v>Beban Administrasi dan Umum</v>
      </c>
      <c r="D18" s="5">
        <f t="array" aca="1" ref="D18" ca="1">IF(B18="","",IFERROR(SUMIF(INDEX(JurnalUnit1,0,5),TRIM($B18)&amp;"*",INDEX(JurnalUnit1,0,6)),0))</f>
        <v>0</v>
      </c>
      <c r="E18" s="5">
        <f t="array" aca="1" ref="E18" ca="1">IF(B18="","",IFERROR(SUMIF(INDEX(JurnalUnit1,0,7),TRIM($B18)&amp;"*",INDEX(JurnalUnit1,0,8)),0))</f>
        <v>0</v>
      </c>
    </row>
    <row r="19" spans="1:5" x14ac:dyDescent="0.2">
      <c r="A19" s="3" t="s">
        <v>0</v>
      </c>
      <c r="B19" s="4" t="str">
        <f ca="1">IFERROR(__xludf.DUMMYFUNCTION("""COMPUTED_VALUE"""),"5-2800")</f>
        <v>5-2800</v>
      </c>
      <c r="C19" s="3" t="str">
        <f ca="1">IFERROR(__xludf.DUMMYFUNCTION("IF(B148="""","""",IFERROR(INDEX(FILTER(INDEX(TabelCOA,0,2),REGEXREPLACE(TRIM(CLEAN(SUBSTITUTE(TO_TEXT(INDEX(TabelCOA,0,1)),CHAR(160),"" ""))),""[–—−]"",""-"")=REGEXREPLACE(TRIM(CLEAN(SUBSTITUTE(TO_TEXT(B148),CHAR(160),"" ""))),""[–—−]"",""-"")),1),""CEK C"&amp;"oA""))"),"Beban Sewa dan Asuransi")</f>
        <v>Beban Sewa dan Asuransi</v>
      </c>
      <c r="D19" s="5">
        <f t="array" aca="1" ref="D19" ca="1">IF(B19="","",IFERROR(SUMIF(INDEX(JurnalUnit1,0,5),TRIM($B19)&amp;"*",INDEX(JurnalUnit1,0,6)),0))</f>
        <v>0</v>
      </c>
      <c r="E19" s="5">
        <f t="array" aca="1" ref="E19" ca="1">IF(B19="","",IFERROR(SUMIF(INDEX(JurnalUnit1,0,7),TRIM($B19)&amp;"*",INDEX(JurnalUnit1,0,8)),0))</f>
        <v>0</v>
      </c>
    </row>
    <row r="20" spans="1:5" x14ac:dyDescent="0.2">
      <c r="A20" s="3" t="s">
        <v>0</v>
      </c>
      <c r="B20" s="4" t="str">
        <f ca="1">IFERROR(__xludf.DUMMYFUNCTION("""COMPUTED_VALUE"""),"5-3204")</f>
        <v>5-3204</v>
      </c>
      <c r="C20" s="3" t="str">
        <f ca="1">IFERROR(__xludf.DUMMYFUNCTION("IF(B149="""","""",IFERROR(INDEX(FILTER(INDEX(TabelCOA,0,2),REGEXREPLACE(TRIM(CLEAN(SUBSTITUTE(TO_TEXT(INDEX(TabelCOA,0,1)),CHAR(160),"" ""))),""[–—−]"",""-"")=REGEXREPLACE(TRIM(CLEAN(SUBSTITUTE(TO_TEXT(B149),CHAR(160),"" ""))),""[–—−]"",""-"")),1),""CEK C"&amp;"oA""))"),"Rugi Penjualan Aset Tetap")</f>
        <v>Rugi Penjualan Aset Tetap</v>
      </c>
      <c r="D20" s="5">
        <f t="array" aca="1" ref="D20" ca="1">IF(B20="","",IFERROR(SUMIF(INDEX(JurnalUnit1,0,5),TRIM($B20)&amp;"*",INDEX(JurnalUnit1,0,6)),0))</f>
        <v>0</v>
      </c>
      <c r="E20" s="5">
        <f t="array" aca="1" ref="E20" ca="1">IF(B20="","",IFERROR(SUMIF(INDEX(JurnalUnit1,0,7),TRIM($B20)&amp;"*",INDEX(JurnalUnit1,0,8)),0))</f>
        <v>0</v>
      </c>
    </row>
    <row r="21" spans="1:5" x14ac:dyDescent="0.2">
      <c r="A21" s="8"/>
      <c r="B21" s="7" t="str">
        <f ca="1">IFERROR(__xludf.DUMMYFUNCTION("""COMPUTED_VALUE"""),"Akun D")</f>
        <v>Akun D</v>
      </c>
      <c r="C21" s="8"/>
      <c r="D21" s="9">
        <f ca="1">SUM(D4:D20)</f>
        <v>0</v>
      </c>
      <c r="E21" s="8"/>
    </row>
    <row r="22" spans="1:5" x14ac:dyDescent="0.2">
      <c r="A22" s="8"/>
      <c r="B22" s="7" t="str">
        <f ca="1">IFERROR(__xludf.DUMMYFUNCTION("""COMPUTED_VALUE"""),"Akun K")</f>
        <v>Akun K</v>
      </c>
      <c r="C22" s="8"/>
      <c r="D22" s="8"/>
      <c r="E22" s="9">
        <f ca="1">SUM(E4:E20)</f>
        <v>0</v>
      </c>
    </row>
  </sheetData>
  <mergeCells count="1">
    <mergeCell ref="A1:E1"/>
  </mergeCells>
  <dataValidations count="1">
    <dataValidation type="list" allowBlank="1" showErrorMessage="1" sqref="R7:R11" xr:uid="{ECBA698F-7591-D644-9002-34E6D6817184}">
      <formula1>"Aktif ,Dijual ,Dihapus ,Tidak Aktif (Dihentikan)"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JurnalUnit1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luqman affandi</dc:creator>
  <cp:lastModifiedBy>luqman affandi</cp:lastModifiedBy>
  <dcterms:created xsi:type="dcterms:W3CDTF">2026-06-16T02:45:24Z</dcterms:created>
  <dcterms:modified xsi:type="dcterms:W3CDTF">2026-06-16T07:22:28Z</dcterms:modified>
</cp:coreProperties>
</file>