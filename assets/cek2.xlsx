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039B8270-5AB8-E148-A1C0-7E7664981E46}" xr6:coauthVersionLast="47" xr6:coauthVersionMax="47" xr10:uidLastSave="{00000000-0000-0000-0000-000000000000}"/>
  <bookViews>
    <workbookView xWindow="380" yWindow="500" windowWidth="28040" windowHeight="16260" xr2:uid="{B3F83EF0-A431-AE4B-BB60-298882836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N10" i="1" s="1"/>
  <c r="M9" i="1"/>
  <c r="M8" i="1"/>
  <c r="Q7" i="1"/>
  <c r="P7" i="1"/>
  <c r="O7" i="1"/>
  <c r="N7" i="1"/>
  <c r="M7" i="1"/>
  <c r="P10" i="1" l="1"/>
  <c r="Q10" i="1" s="1"/>
  <c r="O10" i="1"/>
  <c r="P11" i="1"/>
  <c r="Q11" i="1" s="1"/>
  <c r="N9" i="1"/>
  <c r="P9" i="1" s="1"/>
  <c r="Q9" i="1" s="1"/>
  <c r="O9" i="1"/>
  <c r="N11" i="1"/>
  <c r="O11" i="1" s="1"/>
  <c r="N8" i="1"/>
  <c r="P8" i="1" s="1"/>
  <c r="Q8" i="1" s="1"/>
  <c r="O8" i="1"/>
</calcChain>
</file>

<file path=xl/sharedStrings.xml><?xml version="1.0" encoding="utf-8"?>
<sst xmlns="http://schemas.openxmlformats.org/spreadsheetml/2006/main" count="73" uniqueCount="55">
  <si>
    <t>Peternakan Telur Sejahtera</t>
  </si>
  <si>
    <t>KARTU ASET TETAP (INVENTARIS)</t>
  </si>
  <si>
    <t>Unit Usaha 1:</t>
  </si>
  <si>
    <t>Kode Aset</t>
  </si>
  <si>
    <t>Nama Aset</t>
  </si>
  <si>
    <t>Merk</t>
  </si>
  <si>
    <t>Unit Usaha</t>
  </si>
  <si>
    <t>Tanggal Pembelian</t>
  </si>
  <si>
    <t>Jumlah Unit</t>
  </si>
  <si>
    <t>Harga Satuan</t>
  </si>
  <si>
    <t>Harga Perolehan</t>
  </si>
  <si>
    <t>Nilai Residu</t>
  </si>
  <si>
    <t>Tanggal Digunakan</t>
  </si>
  <si>
    <t>Kategori Aset</t>
  </si>
  <si>
    <t>Umur Ekonomis (tahun)</t>
  </si>
  <si>
    <t>Umur Ekonomis (bulan)</t>
  </si>
  <si>
    <t>Beban Penyusutan/Bulan</t>
  </si>
  <si>
    <t>Beban Penyusutan Periode Berjalan</t>
  </si>
  <si>
    <t>Akumulasi Penyusutan</t>
  </si>
  <si>
    <t>Nilai Buku</t>
  </si>
  <si>
    <t>Status</t>
  </si>
  <si>
    <t>Tanggal Status Tidak Aktif</t>
  </si>
  <si>
    <t>Link Akun Aset Tetap</t>
  </si>
  <si>
    <t>Link Akun Akumulasi Penyusutan</t>
  </si>
  <si>
    <t>Link Akun Beban Penyusutan</t>
  </si>
  <si>
    <t>AT-PT-0011</t>
  </si>
  <si>
    <t>Kandang Ayam Petelur</t>
  </si>
  <si>
    <t>Bangunan PL</t>
  </si>
  <si>
    <t>25/01/2025</t>
  </si>
  <si>
    <t>Bangunan</t>
  </si>
  <si>
    <t xml:space="preserve">Dijual </t>
  </si>
  <si>
    <t>1-2020 Bangunan</t>
  </si>
  <si>
    <t>1-2091 Akumulasi Penyusutan Bangunan</t>
  </si>
  <si>
    <t>5-2700 Beban Penyusutan</t>
  </si>
  <si>
    <t>AT-PT-0012</t>
  </si>
  <si>
    <t>Mesin Pakan Otomatis</t>
  </si>
  <si>
    <t>FeedPro X2</t>
  </si>
  <si>
    <t>Mesin</t>
  </si>
  <si>
    <t>Aktif</t>
  </si>
  <si>
    <t>1-2040 Peralatan dan Mesin</t>
  </si>
  <si>
    <t>1-2093 Akumulasi Penyusutan Peralatan dan Mesin</t>
  </si>
  <si>
    <t>AT-PT-0013</t>
  </si>
  <si>
    <t>Kendaraan Pick Up</t>
  </si>
  <si>
    <t>Suzuki Carry</t>
  </si>
  <si>
    <t>15/03/2025</t>
  </si>
  <si>
    <t>Kendaraan</t>
  </si>
  <si>
    <t>1-2030 Kendaraan</t>
  </si>
  <si>
    <t>1-2092 Akumulasi Penyusutan Kendaraan</t>
  </si>
  <si>
    <t>AT-PT-0014</t>
  </si>
  <si>
    <t>Kandang Pembesaran Baru</t>
  </si>
  <si>
    <t>SmartFarm House</t>
  </si>
  <si>
    <t>AT-PT-0015</t>
  </si>
  <si>
    <t>Mesin Pakan Semi Auto</t>
  </si>
  <si>
    <t>AgroMix 3000</t>
  </si>
  <si>
    <t>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</si>
</sst>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-[$Rp-421]* #,##0.00_-;_-[$Rp-421]* \-#,##0.00_-;_-[$Rp-421]* &quot;-&quot;??_-;_-@"/>
    <numFmt numFmtId="169" formatCode="mm/dd/yyyy"/>
    <numFmt numFmtId="170" formatCode="[$Rp]#,##0"/>
    <numFmt numFmtId="171" formatCode="dd/mm/yyyy"/>
  </numFmts>
  <fonts count="6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  <xf numFmtId="3" fontId="2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168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0" borderId="0" xfId="0" applyFont="1" applyAlignment="1">
      <alignment vertic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70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center"/>
    </xf>
    <xf numFmtId="0" fontId="4" fillId="0" borderId="0" xfId="0" applyFont="1"/>
    <xf numFmtId="171" fontId="4" fillId="0" borderId="0" xfId="0" applyNumberFormat="1" applyFont="1"/>
    <xf numFmtId="0" fontId="4" fillId="0" borderId="0" xfId="0" applyFont="1" applyAlignment="1">
      <alignment horizontal="center"/>
    </xf>
    <xf numFmtId="170" fontId="4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70" fontId="4" fillId="0" borderId="1" xfId="0" applyNumberFormat="1" applyFont="1" applyBorder="1"/>
    <xf numFmtId="171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/>
    <xf numFmtId="169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2EA5-1D8C-C148-9D77-A760693C703D}">
  <dimension ref="A1:V15"/>
  <sheetViews>
    <sheetView tabSelected="1" workbookViewId="0">
      <selection sqref="A1:V11"/>
    </sheetView>
  </sheetViews>
  <sheetFormatPr baseColWidth="10" defaultRowHeight="16" x14ac:dyDescent="0.2"/>
  <sheetData>
    <row r="1" spans="1:22" ht="17" x14ac:dyDescent="0.2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2" x14ac:dyDescent="0.2">
      <c r="A2" s="7"/>
      <c r="B2" s="1"/>
      <c r="C2" s="7"/>
      <c r="D2" s="7"/>
      <c r="E2" s="7"/>
      <c r="F2" s="5"/>
      <c r="G2" s="20"/>
      <c r="H2" s="20"/>
      <c r="I2" s="21"/>
      <c r="J2" s="7"/>
      <c r="K2" s="5"/>
      <c r="L2" s="5"/>
      <c r="M2" s="5"/>
      <c r="N2" s="6"/>
      <c r="O2" s="6"/>
      <c r="P2" s="6"/>
      <c r="Q2" s="4"/>
    </row>
    <row r="3" spans="1:22" x14ac:dyDescent="0.2">
      <c r="A3" s="7" t="s">
        <v>2</v>
      </c>
      <c r="B3" s="1" t="s">
        <v>0</v>
      </c>
      <c r="C3" s="7"/>
      <c r="D3" s="7"/>
      <c r="E3" s="7"/>
      <c r="F3" s="5"/>
      <c r="G3" s="20"/>
      <c r="H3" s="20"/>
      <c r="I3" s="21"/>
      <c r="J3" s="7"/>
      <c r="K3" s="5"/>
      <c r="L3" s="5"/>
      <c r="M3" s="5"/>
      <c r="N3" s="6"/>
      <c r="O3" s="6"/>
      <c r="P3" s="6"/>
      <c r="Q3" s="4"/>
    </row>
    <row r="4" spans="1:22" x14ac:dyDescent="0.2">
      <c r="A4" s="22"/>
      <c r="B4" s="23"/>
      <c r="C4" s="22"/>
      <c r="D4" s="22"/>
      <c r="E4" s="24"/>
      <c r="F4" s="22"/>
      <c r="G4" s="25"/>
      <c r="H4" s="22"/>
      <c r="I4" s="22"/>
      <c r="J4" s="2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2" x14ac:dyDescent="0.2">
      <c r="A5" s="22"/>
      <c r="B5" s="22"/>
      <c r="C5" s="22"/>
      <c r="D5" s="22"/>
      <c r="E5" s="24"/>
      <c r="F5" s="22"/>
      <c r="G5" s="22"/>
      <c r="H5" s="22"/>
      <c r="I5" s="22"/>
      <c r="J5" s="24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x14ac:dyDescent="0.2">
      <c r="A6" s="26" t="s">
        <v>3</v>
      </c>
      <c r="B6" s="26" t="s">
        <v>4</v>
      </c>
      <c r="C6" s="26" t="s">
        <v>5</v>
      </c>
      <c r="D6" s="26" t="s">
        <v>6</v>
      </c>
      <c r="E6" s="27" t="s">
        <v>7</v>
      </c>
      <c r="F6" s="26" t="s">
        <v>8</v>
      </c>
      <c r="G6" s="26" t="s">
        <v>9</v>
      </c>
      <c r="H6" s="26" t="s">
        <v>10</v>
      </c>
      <c r="I6" s="26" t="s">
        <v>11</v>
      </c>
      <c r="J6" s="27" t="s">
        <v>12</v>
      </c>
      <c r="K6" s="26" t="s">
        <v>13</v>
      </c>
      <c r="L6" s="26" t="s">
        <v>14</v>
      </c>
      <c r="M6" s="26" t="s">
        <v>15</v>
      </c>
      <c r="N6" s="26" t="s">
        <v>16</v>
      </c>
      <c r="O6" s="26" t="s">
        <v>17</v>
      </c>
      <c r="P6" s="26" t="s">
        <v>18</v>
      </c>
      <c r="Q6" s="26" t="s">
        <v>19</v>
      </c>
      <c r="R6" s="26" t="s">
        <v>20</v>
      </c>
      <c r="S6" s="27" t="s">
        <v>21</v>
      </c>
      <c r="T6" s="26" t="s">
        <v>22</v>
      </c>
      <c r="U6" s="26" t="s">
        <v>23</v>
      </c>
      <c r="V6" s="26" t="s">
        <v>24</v>
      </c>
    </row>
    <row r="7" spans="1:22" x14ac:dyDescent="0.2">
      <c r="A7" s="28" t="s">
        <v>25</v>
      </c>
      <c r="B7" s="28" t="s">
        <v>26</v>
      </c>
      <c r="C7" s="28" t="s">
        <v>27</v>
      </c>
      <c r="D7" s="28" t="s">
        <v>0</v>
      </c>
      <c r="E7" s="29" t="s">
        <v>28</v>
      </c>
      <c r="F7" s="28">
        <v>1</v>
      </c>
      <c r="G7" s="30">
        <v>0</v>
      </c>
      <c r="H7" s="30">
        <v>54000000</v>
      </c>
      <c r="I7" s="30">
        <v>0</v>
      </c>
      <c r="J7" s="31">
        <v>45659</v>
      </c>
      <c r="K7" s="28" t="s">
        <v>29</v>
      </c>
      <c r="L7" s="28">
        <v>20</v>
      </c>
      <c r="M7" s="28">
        <f t="shared" ref="M7:M11" si="0">L7*12</f>
        <v>240</v>
      </c>
      <c r="N7" s="30">
        <f t="shared" ref="N7:N11" si="1">IF(AND($S7&lt;&gt;"",$S7&lt;=$B$2),0,IFERROR(ROUND(($H7-$I7)/$M7,0),0))</f>
        <v>225000</v>
      </c>
      <c r="O7" s="30">
        <f t="shared" ref="O7:O11" si="2">IF(AND($S7&lt;&gt;"",$S7&lt;=$B$2),0,IF(OR($J7="",$M7=0,$N7=0,$J7&gt;$B$3),0,$N7*MAX(0,MIN($M7,IF(IF($S7="",$B$3,MIN($S7-1,$B$3))&lt;$J7,0,DATEDIF($J7,IF($S7="",$B$3,MIN($S7-1,$B$3)),"m")+1))-IF($J7&gt;$B$2-1,0,MIN($M7,DATEDIF($J7,$B$2-1,"m")+1)))))</f>
        <v>2925000</v>
      </c>
      <c r="P7" s="30">
        <f t="shared" ref="P7:P11" si="3">IF(AND($S7&lt;&gt;"",$S7&lt;=$B$2),0,IF(OR($J7="",$M7=0,$N7=0,$J7&gt;$B$3),0,MIN($H7-$I7,$N7*MIN($M7,IF(IF($S7="",$B$3,MIN($S7-1,$B$3))&lt;$J7,0,DATEDIF($J7,IF($S7="",$B$3,MIN($S7-1,$B$3)),"m")+1)))))</f>
        <v>2925000</v>
      </c>
      <c r="Q7" s="30">
        <f t="shared" ref="Q7:Q11" si="4">IF(AND($S7&lt;&gt;"",$S7&lt;=$B$3),0,MAX($I7,$H7-$P7))</f>
        <v>0</v>
      </c>
      <c r="R7" s="28" t="s">
        <v>30</v>
      </c>
      <c r="S7" s="32">
        <v>46054</v>
      </c>
      <c r="T7" s="28" t="s">
        <v>31</v>
      </c>
      <c r="U7" s="28" t="s">
        <v>32</v>
      </c>
      <c r="V7" s="28" t="s">
        <v>33</v>
      </c>
    </row>
    <row r="8" spans="1:22" x14ac:dyDescent="0.2">
      <c r="A8" s="28" t="s">
        <v>34</v>
      </c>
      <c r="B8" s="28" t="s">
        <v>35</v>
      </c>
      <c r="C8" s="28" t="s">
        <v>36</v>
      </c>
      <c r="D8" s="28" t="s">
        <v>0</v>
      </c>
      <c r="E8" s="33">
        <v>45932</v>
      </c>
      <c r="F8" s="28">
        <v>1</v>
      </c>
      <c r="G8" s="30">
        <v>0</v>
      </c>
      <c r="H8" s="30">
        <v>17000000</v>
      </c>
      <c r="I8" s="30">
        <v>0</v>
      </c>
      <c r="J8" s="31">
        <v>45703</v>
      </c>
      <c r="K8" s="28" t="s">
        <v>37</v>
      </c>
      <c r="L8" s="28">
        <v>8</v>
      </c>
      <c r="M8" s="28">
        <f t="shared" si="0"/>
        <v>96</v>
      </c>
      <c r="N8" s="30">
        <f t="shared" si="1"/>
        <v>177083</v>
      </c>
      <c r="O8" s="30" t="e">
        <f t="shared" si="2"/>
        <v>#VALUE!</v>
      </c>
      <c r="P8" s="30" t="e">
        <f t="shared" si="3"/>
        <v>#VALUE!</v>
      </c>
      <c r="Q8" s="30" t="e">
        <f t="shared" si="4"/>
        <v>#VALUE!</v>
      </c>
      <c r="R8" s="28" t="s">
        <v>38</v>
      </c>
      <c r="S8" s="28"/>
      <c r="T8" s="28" t="s">
        <v>39</v>
      </c>
      <c r="U8" s="28" t="s">
        <v>40</v>
      </c>
      <c r="V8" s="28" t="s">
        <v>33</v>
      </c>
    </row>
    <row r="9" spans="1:22" x14ac:dyDescent="0.2">
      <c r="A9" s="28" t="s">
        <v>41</v>
      </c>
      <c r="B9" s="28" t="s">
        <v>42</v>
      </c>
      <c r="C9" s="28" t="s">
        <v>43</v>
      </c>
      <c r="D9" s="28" t="s">
        <v>0</v>
      </c>
      <c r="E9" s="29" t="s">
        <v>44</v>
      </c>
      <c r="F9" s="28">
        <v>1</v>
      </c>
      <c r="G9" s="30">
        <v>0</v>
      </c>
      <c r="H9" s="30">
        <v>169000000</v>
      </c>
      <c r="I9" s="30">
        <v>0</v>
      </c>
      <c r="J9" s="31">
        <v>45736</v>
      </c>
      <c r="K9" s="28" t="s">
        <v>45</v>
      </c>
      <c r="L9" s="28">
        <v>8</v>
      </c>
      <c r="M9" s="28">
        <f t="shared" si="0"/>
        <v>96</v>
      </c>
      <c r="N9" s="30">
        <f t="shared" si="1"/>
        <v>1760417</v>
      </c>
      <c r="O9" s="30" t="e">
        <f t="shared" si="2"/>
        <v>#VALUE!</v>
      </c>
      <c r="P9" s="30" t="e">
        <f t="shared" si="3"/>
        <v>#VALUE!</v>
      </c>
      <c r="Q9" s="30" t="e">
        <f t="shared" si="4"/>
        <v>#VALUE!</v>
      </c>
      <c r="R9" s="28" t="s">
        <v>38</v>
      </c>
      <c r="S9" s="28"/>
      <c r="T9" s="28" t="s">
        <v>46</v>
      </c>
      <c r="U9" s="28" t="s">
        <v>47</v>
      </c>
      <c r="V9" s="28" t="s">
        <v>33</v>
      </c>
    </row>
    <row r="10" spans="1:22" x14ac:dyDescent="0.2">
      <c r="A10" s="28" t="s">
        <v>48</v>
      </c>
      <c r="B10" s="28" t="s">
        <v>49</v>
      </c>
      <c r="C10" s="28" t="s">
        <v>50</v>
      </c>
      <c r="D10" s="28" t="s">
        <v>0</v>
      </c>
      <c r="E10" s="33">
        <v>46357</v>
      </c>
      <c r="F10" s="28">
        <v>1</v>
      </c>
      <c r="G10" s="30">
        <v>25000000</v>
      </c>
      <c r="H10" s="30">
        <v>25000000</v>
      </c>
      <c r="I10" s="30">
        <v>0</v>
      </c>
      <c r="J10" s="31">
        <v>46037</v>
      </c>
      <c r="K10" s="28" t="s">
        <v>29</v>
      </c>
      <c r="L10" s="28">
        <v>10</v>
      </c>
      <c r="M10" s="28">
        <f t="shared" si="0"/>
        <v>120</v>
      </c>
      <c r="N10" s="30">
        <f t="shared" si="1"/>
        <v>208333</v>
      </c>
      <c r="O10" s="30" t="e">
        <f t="shared" si="2"/>
        <v>#VALUE!</v>
      </c>
      <c r="P10" s="30" t="e">
        <f t="shared" si="3"/>
        <v>#VALUE!</v>
      </c>
      <c r="Q10" s="30" t="e">
        <f t="shared" si="4"/>
        <v>#VALUE!</v>
      </c>
      <c r="R10" s="28" t="s">
        <v>38</v>
      </c>
      <c r="S10" s="28"/>
      <c r="T10" s="28" t="s">
        <v>31</v>
      </c>
      <c r="U10" s="28" t="s">
        <v>32</v>
      </c>
      <c r="V10" s="28" t="s">
        <v>33</v>
      </c>
    </row>
    <row r="11" spans="1:22" x14ac:dyDescent="0.2">
      <c r="A11" s="28" t="s">
        <v>51</v>
      </c>
      <c r="B11" s="28" t="s">
        <v>52</v>
      </c>
      <c r="C11" s="28" t="s">
        <v>53</v>
      </c>
      <c r="D11" s="28" t="s">
        <v>0</v>
      </c>
      <c r="E11" s="29" t="s">
        <v>54</v>
      </c>
      <c r="F11" s="28">
        <v>1</v>
      </c>
      <c r="G11" s="30">
        <v>7500000</v>
      </c>
      <c r="H11" s="30">
        <v>7500000</v>
      </c>
      <c r="I11" s="30">
        <v>0</v>
      </c>
      <c r="J11" s="31">
        <v>46037</v>
      </c>
      <c r="K11" s="28" t="s">
        <v>37</v>
      </c>
      <c r="L11" s="28">
        <v>5</v>
      </c>
      <c r="M11" s="28">
        <f t="shared" si="0"/>
        <v>60</v>
      </c>
      <c r="N11" s="30">
        <f t="shared" si="1"/>
        <v>125000</v>
      </c>
      <c r="O11" s="30" t="e">
        <f t="shared" si="2"/>
        <v>#VALUE!</v>
      </c>
      <c r="P11" s="30" t="e">
        <f t="shared" si="3"/>
        <v>#VALUE!</v>
      </c>
      <c r="Q11" s="30" t="e">
        <f t="shared" si="4"/>
        <v>#VALUE!</v>
      </c>
      <c r="R11" s="28" t="s">
        <v>38</v>
      </c>
      <c r="S11" s="28"/>
      <c r="T11" s="28" t="s">
        <v>39</v>
      </c>
      <c r="U11" s="28" t="s">
        <v>40</v>
      </c>
      <c r="V11" s="28" t="s">
        <v>33</v>
      </c>
    </row>
    <row r="12" spans="1:22" x14ac:dyDescent="0.2">
      <c r="A12" s="17"/>
      <c r="B12" s="8"/>
      <c r="C12" s="9"/>
      <c r="D12" s="10"/>
      <c r="E12" s="11"/>
      <c r="F12" s="11"/>
      <c r="G12" s="10"/>
      <c r="H12" s="11"/>
      <c r="I12" s="12"/>
      <c r="J12" s="14"/>
      <c r="K12" s="15"/>
      <c r="L12" s="16"/>
    </row>
    <row r="13" spans="1:22" x14ac:dyDescent="0.2">
      <c r="A13" s="17"/>
      <c r="B13" s="8"/>
      <c r="C13" s="9"/>
      <c r="D13" s="10"/>
      <c r="E13" s="11"/>
      <c r="F13" s="11"/>
      <c r="G13" s="10"/>
      <c r="H13" s="11"/>
      <c r="I13" s="12"/>
      <c r="J13" s="10"/>
      <c r="K13" s="13"/>
      <c r="L13" s="18"/>
    </row>
    <row r="14" spans="1:22" x14ac:dyDescent="0.2">
      <c r="A14" s="17"/>
      <c r="B14" s="8"/>
      <c r="C14" s="9"/>
      <c r="D14" s="10"/>
      <c r="E14" s="11"/>
      <c r="F14" s="11"/>
      <c r="G14" s="10"/>
      <c r="H14" s="11"/>
      <c r="I14" s="12"/>
      <c r="J14" s="10"/>
      <c r="K14" s="13"/>
      <c r="L14" s="18"/>
    </row>
    <row r="15" spans="1:22" x14ac:dyDescent="0.2">
      <c r="A15" s="17"/>
      <c r="B15" s="19"/>
      <c r="C15" s="9"/>
      <c r="D15" s="10"/>
      <c r="E15" s="11"/>
      <c r="F15" s="11"/>
      <c r="G15" s="10"/>
      <c r="H15" s="11"/>
      <c r="I15" s="12"/>
      <c r="J15" s="10"/>
      <c r="K15" s="13"/>
      <c r="L15" s="18"/>
    </row>
  </sheetData>
  <mergeCells count="1">
    <mergeCell ref="A1:R1"/>
  </mergeCells>
  <dataValidations count="1">
    <dataValidation type="list" allowBlank="1" showErrorMessage="1" sqref="R7:R11" xr:uid="{ECBA698F-7591-D644-9002-34E6D6817184}">
      <formula1>"Aktif ,Dijual ,Dihapus ,Tidak Aktif (Dihentikan)"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2026-06-16T02:45:24Z</dcterms:created>
  <dcterms:modified xsi:type="dcterms:W3CDTF">2026-06-16T04:14:37Z</dcterms:modified>
</cp:coreProperties>
</file>