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77429936-F62B-9D4C-8F4D-E1FF38B3C26F}" xr6:coauthVersionLast="47" xr6:coauthVersionMax="47" xr10:uidLastSave="{00000000-0000-0000-0000-000000000000}"/>
  <bookViews>
    <workbookView xWindow="0" yWindow="0" windowWidth="28800" windowHeight="18000" xr2:uid="{C8D4B9A7-4A0F-D64E-BE7F-5BF76348188D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46" i="1"/>
  <c r="C45" i="1"/>
  <c r="C44" i="1"/>
  <c r="C47" i="1" s="1"/>
  <c r="C41" i="1"/>
  <c r="C40" i="1"/>
  <c r="C39" i="1"/>
  <c r="C33" i="1"/>
  <c r="C32" i="1"/>
  <c r="C29" i="1"/>
  <c r="C21" i="1"/>
  <c r="C20" i="1"/>
  <c r="C19" i="1"/>
  <c r="C18" i="1"/>
  <c r="C15" i="1"/>
  <c r="C14" i="1"/>
  <c r="C12" i="1"/>
  <c r="C11" i="1"/>
  <c r="C42" i="1" l="1"/>
  <c r="C48" i="1" s="1"/>
  <c r="C34" i="1"/>
  <c r="C13" i="1" l="1"/>
  <c r="C16" i="1" s="1"/>
  <c r="C28" i="1"/>
  <c r="C30" i="1" s="1"/>
  <c r="C35" i="1" s="1"/>
  <c r="C22" i="1"/>
  <c r="C23" i="1" s="1"/>
  <c r="C24" i="1" l="1"/>
  <c r="C50" i="1"/>
  <c r="C51" i="1" s="1"/>
</calcChain>
</file>

<file path=xl/sharedStrings.xml><?xml version="1.0" encoding="utf-8"?>
<sst xmlns="http://schemas.openxmlformats.org/spreadsheetml/2006/main" count="49" uniqueCount="45">
  <si>
    <t>BUMDES MAJU SEJAHTERA MANDIRI</t>
  </si>
  <si>
    <t>(dalam rupiah)</t>
  </si>
  <si>
    <t>Nomor Urut</t>
  </si>
  <si>
    <t>Uraian</t>
  </si>
  <si>
    <t>LAPORAN ARUS KAS</t>
  </si>
  <si>
    <t>UNTUK PERIODE YANG BERAKHIR PADA BULAN JANUARI 2026</t>
  </si>
  <si>
    <t> 3</t>
  </si>
  <si>
    <t>ARUS KAS DARI AKTIVITAS OPERASI</t>
  </si>
  <si>
    <t>Arus Kas Masuk</t>
  </si>
  <si>
    <t>Penerimaan kas dari penjualan jasa</t>
  </si>
  <si>
    <t>Penerimaan kas dari penjualan barang dagangan</t>
  </si>
  <si>
    <t>Penerimaan kas dari penjualan barang jadi</t>
  </si>
  <si>
    <t>penerimaan kas dari bunga dan deviden</t>
  </si>
  <si>
    <t>penerimaan kas dari bunga bank</t>
  </si>
  <si>
    <t>Jumlah arus kas masuk dari aktivitas operasi</t>
  </si>
  <si>
    <t>Arus Kas Keluar</t>
  </si>
  <si>
    <t>Pengeluaran kas untuk pembayaran ke pemasok barang</t>
  </si>
  <si>
    <t>Pengeluaran kas untuk pembayaran gaji/upah pegawai/karyawan</t>
  </si>
  <si>
    <t>Pengeluaran kas untuk pembayaran pajak</t>
  </si>
  <si>
    <t>Pengeluaran kas untuk pembayaran bunga</t>
  </si>
  <si>
    <t>Pengeluaran kas untuk pembayaran beban-beban yang lain</t>
  </si>
  <si>
    <t>Jumlah arus kas keluar dari aktivitas operasi</t>
  </si>
  <si>
    <t>Arus kas bersih dari aktivitas operasi</t>
  </si>
  <si>
    <t>ARUS KAS DARI AKTIVITAS INVESTASI</t>
  </si>
  <si>
    <t>Penerimaan Kas dari Penjualan Aset Tetap</t>
  </si>
  <si>
    <t>Penerimaan Kas dari Investasi</t>
  </si>
  <si>
    <t>Jumlah arus kas masuk dari aktivitas Investasi</t>
  </si>
  <si>
    <t>Pengeluaran Kas untuk Pembelian Aset Tetap</t>
  </si>
  <si>
    <t>Pengeluaran Kas untuk Investasi</t>
  </si>
  <si>
    <t>Jumlah arus kas keluar dari aktivitas Investasi</t>
  </si>
  <si>
    <t>Arus kas bersih dari aktivitas Investasi</t>
  </si>
  <si>
    <t>ARUS KAS DARI AKTIVITAS PEMBIAYAAN</t>
  </si>
  <si>
    <t>Penerimaan kas dari penyertaan modal desa</t>
  </si>
  <si>
    <t>Penerimaan kas dari penyertaan modal masyarakat</t>
  </si>
  <si>
    <t>Penerimaan kas dari utang jangka panjang</t>
  </si>
  <si>
    <t>Jumlah arus kas masuk dari aktivitas Pembiayaan</t>
  </si>
  <si>
    <t>Pembayaran bagi hasil penyertaan modal desa</t>
  </si>
  <si>
    <t>Pembayaran bagi hasil penyertaan modal masyarakat</t>
  </si>
  <si>
    <t>Pembayaran pokok utang jangka panjang</t>
  </si>
  <si>
    <t>Jumlah arus kas keluar dari aktivitas Pembiayaan</t>
  </si>
  <si>
    <t>Arus kas bersih dari aktivitas Pembiayaan</t>
  </si>
  <si>
    <t>Kenaikan (penurunan) Kas</t>
  </si>
  <si>
    <t>Saldo kas awal tahun</t>
  </si>
  <si>
    <t>Saldo kas akhir tahun</t>
  </si>
  <si>
    <t>-&gt; saldo akhir tahun kas sama dengan kas dan setara kas pada Neraca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</si>
</sst>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;\(#,##0.00\);\-"/>
  </numFmts>
  <fonts count="1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mbria"/>
      <family val="1"/>
    </font>
    <font>
      <sz val="12"/>
      <color rgb="FF538DD5"/>
      <name val="Cambria"/>
      <family val="1"/>
    </font>
    <font>
      <sz val="12"/>
      <color theme="1"/>
      <name val="Cambria"/>
      <family val="1"/>
    </font>
    <font>
      <b/>
      <sz val="12"/>
      <color rgb="FFE26B0A"/>
      <name val="Cambria"/>
      <family val="1"/>
    </font>
    <font>
      <b/>
      <sz val="12"/>
      <color rgb="FF00B0F0"/>
      <name val="Cambria"/>
      <family val="1"/>
    </font>
    <font>
      <b/>
      <i/>
      <sz val="12"/>
      <color theme="1"/>
      <name val="Cambria"/>
      <family val="1"/>
    </font>
    <font>
      <b/>
      <i/>
      <sz val="12"/>
      <color rgb="FFE26B0A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vertical="top" wrapText="1"/>
    </xf>
    <xf numFmtId="166" fontId="1" fillId="0" borderId="4" xfId="0" applyNumberFormat="1" applyFont="1" applyBorder="1" applyAlignment="1">
      <alignment vertical="top"/>
    </xf>
    <xf numFmtId="0" fontId="9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166" fontId="7" fillId="0" borderId="4" xfId="0" applyNumberFormat="1" applyFont="1" applyBorder="1" applyAlignment="1">
      <alignment horizontal="right" vertical="top" wrapText="1"/>
    </xf>
    <xf numFmtId="0" fontId="10" fillId="0" borderId="4" xfId="0" applyFont="1" applyBorder="1" applyAlignment="1">
      <alignment vertical="top" wrapText="1"/>
    </xf>
    <xf numFmtId="166" fontId="5" fillId="0" borderId="4" xfId="0" applyNumberFormat="1" applyFont="1" applyBorder="1" applyAlignment="1">
      <alignment horizontal="right" vertical="top" wrapText="1"/>
    </xf>
    <xf numFmtId="0" fontId="11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5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imulasi%20BUDAYA%2001%20(1).xlsx" TargetMode="External"/><Relationship Id="rId2" Type="http://schemas.openxmlformats.org/officeDocument/2006/relationships/externalLinkPath" Target="/Users/luqmanaffandi/Downloads/Simulasi%20BUDAYA%2001%20(1).xlsx" TargetMode="External"/><Relationship Id="rId1" Type="http://schemas.openxmlformats.org/officeDocument/2006/relationships/externalLinkPath" Target="/Users/luqmanaffandi/Downloads/Simulasi%20BUDAYA%2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Menu"/>
      <sheetName val="Profil BUMDes"/>
      <sheetName val="Hak Akses"/>
      <sheetName val="Master Data"/>
      <sheetName val="CoA"/>
      <sheetName val="Mapping Transaksi Rutin"/>
      <sheetName val="Mapping Transaksi Non Rutin"/>
      <sheetName val="Mapping Transaksi Lainnya"/>
      <sheetName val="Mapping Jurnal Penyesuaian"/>
      <sheetName val="Saldo Awal"/>
      <sheetName val="Input Transaksi"/>
      <sheetName val="Jurnal"/>
      <sheetName val="Buku Pembantu - Piutang"/>
      <sheetName val="Buku Pembantu - Utang"/>
      <sheetName val="Kartu Persediaan"/>
      <sheetName val="Kartu Aset Tetap"/>
      <sheetName val="Jurnal Penyesuaian"/>
      <sheetName val="Histori Akun"/>
      <sheetName val="Neraca Saldo Setelah Disesuaika"/>
      <sheetName val="Lap Laba Rugi"/>
      <sheetName val="Laporan Penyertaan Modal"/>
      <sheetName val="Laporan Perubahan Modal"/>
      <sheetName val="Neraca"/>
      <sheetName val="Laporan Arus Kas"/>
      <sheetName val="Rasio Keuangan"/>
      <sheetName val="BMC- Analisa Kelayakan Usa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C6" t="str">
            <v>Deskripsi Transaksi</v>
          </cell>
          <cell r="E6" t="str">
            <v>Akun Debit</v>
          </cell>
          <cell r="F6" t="str">
            <v>Nominal</v>
          </cell>
          <cell r="G6" t="str">
            <v>Akun Kredit</v>
          </cell>
        </row>
        <row r="7">
          <cell r="C7" t="str">
            <v>Beli Pakan Ayam - Tunai</v>
          </cell>
          <cell r="E7" t="str">
            <v>5-2210 Beban Operasional Peternakan Ayam Petelur</v>
          </cell>
          <cell r="F7">
            <v>1500000</v>
          </cell>
          <cell r="G7" t="str">
            <v>1-1110 Kas</v>
          </cell>
        </row>
        <row r="8">
          <cell r="C8" t="str">
            <v>Beli Bibit Ayam - Tunai</v>
          </cell>
          <cell r="E8" t="str">
            <v>5-2210 Beban Operasional Peternakan Ayam Petelur</v>
          </cell>
          <cell r="F8">
            <v>3200000</v>
          </cell>
          <cell r="G8" t="str">
            <v>1-1110 Kas</v>
          </cell>
        </row>
        <row r="9">
          <cell r="C9" t="str">
            <v>Beli Obat/Vitamin - Tunai</v>
          </cell>
          <cell r="E9" t="str">
            <v>5-2210 Beban Operasional Peternakan Ayam Petelur</v>
          </cell>
          <cell r="F9">
            <v>450000</v>
          </cell>
          <cell r="G9" t="str">
            <v>1-1110 Kas</v>
          </cell>
        </row>
        <row r="10">
          <cell r="C10" t="str">
            <v>Beli Tray Telur</v>
          </cell>
          <cell r="E10" t="str">
            <v>5-2210 Beban Operasional Peternakan Ayam Petelur</v>
          </cell>
          <cell r="F10">
            <v>275000</v>
          </cell>
          <cell r="G10" t="str">
            <v>1-1110 Kas</v>
          </cell>
        </row>
        <row r="11">
          <cell r="C11" t="str">
            <v>Jual Telur Grade A - Tunai</v>
          </cell>
          <cell r="E11" t="str">
            <v>1-1110 Kas</v>
          </cell>
          <cell r="F11">
            <v>1250000</v>
          </cell>
          <cell r="G11" t="str">
            <v>4-1200 Pendapatan Penjualan Hasil Produksi</v>
          </cell>
        </row>
        <row r="12">
          <cell r="C12" t="str">
            <v>Jual Telur Grade A - Tunai</v>
          </cell>
          <cell r="E12" t="str">
            <v>5-1200 HPP Barang Jadi / Hasil Produksi</v>
          </cell>
          <cell r="F12">
            <v>508196.72131147544</v>
          </cell>
          <cell r="G12" t="str">
            <v>1-1420 Persediaan Barang Jadi</v>
          </cell>
        </row>
        <row r="13">
          <cell r="C13" t="str">
            <v>Jual Telur Grade B - Tunai</v>
          </cell>
          <cell r="E13" t="str">
            <v>1-1110 Kas</v>
          </cell>
          <cell r="F13">
            <v>1100000</v>
          </cell>
          <cell r="G13" t="str">
            <v>4-1200 Pendapatan Penjualan Hasil Produksi</v>
          </cell>
        </row>
        <row r="14">
          <cell r="C14" t="str">
            <v>Jual Telur Grade B - Tunai</v>
          </cell>
          <cell r="E14" t="str">
            <v>5-1200 HPP Barang Jadi / Hasil Produksi</v>
          </cell>
          <cell r="F14">
            <v>528878.04878048773</v>
          </cell>
          <cell r="G14" t="str">
            <v>1-1420 Persediaan Barang Jadi</v>
          </cell>
        </row>
        <row r="15">
          <cell r="C15" t="str">
            <v>Jual Telur Grade A - Transfer BRI</v>
          </cell>
          <cell r="E15" t="str">
            <v>1-1210 Bank BRI</v>
          </cell>
          <cell r="F15">
            <v>2000000</v>
          </cell>
          <cell r="G15" t="str">
            <v>4-1200 Pendapatan Penjualan Hasil Produksi</v>
          </cell>
        </row>
        <row r="16">
          <cell r="C16" t="str">
            <v>Jual Telur Grade A - Transfer BRI</v>
          </cell>
          <cell r="E16" t="str">
            <v>5-1200 HPP Barang Jadi / Hasil Produksi</v>
          </cell>
          <cell r="F16">
            <v>813120</v>
          </cell>
          <cell r="G16" t="str">
            <v>1-1420 Persediaan Barang Jadi</v>
          </cell>
        </row>
        <row r="17">
          <cell r="C17" t="str">
            <v>Jual Telur Grade B - Transfer BRI</v>
          </cell>
          <cell r="E17" t="str">
            <v>1-1210 Bank BRI</v>
          </cell>
          <cell r="F17">
            <v>1850000</v>
          </cell>
          <cell r="G17" t="str">
            <v>4-1200 Pendapatan Penjualan Hasil Produksi</v>
          </cell>
        </row>
        <row r="18">
          <cell r="C18" t="str">
            <v>Jual Telur Grade B - Transfer BRI</v>
          </cell>
          <cell r="E18" t="str">
            <v>5-1200 HPP Barang Jadi / Hasil Produksi</v>
          </cell>
          <cell r="F18">
            <v>895024.39024390234</v>
          </cell>
          <cell r="G18" t="str">
            <v>1-1420 Persediaan Barang Jadi</v>
          </cell>
        </row>
        <row r="19">
          <cell r="C19" t="str">
            <v>Bayar Gaji Pekerja - Tunai</v>
          </cell>
          <cell r="E19" t="str">
            <v>5-2100 Beban Pegawai</v>
          </cell>
          <cell r="F19">
            <v>1500000</v>
          </cell>
          <cell r="G19" t="str">
            <v>1-1110 Kas</v>
          </cell>
        </row>
        <row r="20">
          <cell r="C20" t="str">
            <v>Bayar Listrik Kandang - Tunai</v>
          </cell>
          <cell r="E20" t="str">
            <v>5-2300 Beban Utilitas</v>
          </cell>
          <cell r="F20">
            <v>550000</v>
          </cell>
          <cell r="G20" t="str">
            <v>1-1110 Kas</v>
          </cell>
        </row>
        <row r="21">
          <cell r="C21" t="str">
            <v>Bayar Perawatan Kandang - Tunai</v>
          </cell>
          <cell r="E21" t="str">
            <v>5-2400 Beban Pemeliharaan dan Perbaikan</v>
          </cell>
          <cell r="F21">
            <v>650000</v>
          </cell>
          <cell r="G21" t="str">
            <v>1-1110 Kas</v>
          </cell>
        </row>
        <row r="22">
          <cell r="C22" t="str">
            <v>Bayar Air/Operasional Kandang - Tunai</v>
          </cell>
          <cell r="E22" t="str">
            <v>5-2210 Beban Operasional Peternakan Ayam Petelur</v>
          </cell>
          <cell r="F22">
            <v>225000</v>
          </cell>
          <cell r="G22" t="str">
            <v>1-1110 Kas</v>
          </cell>
        </row>
        <row r="23">
          <cell r="C23" t="str">
            <v>Beli Pakan Ayam - Belum Dibayar</v>
          </cell>
          <cell r="E23" t="str">
            <v>5-2210 Beban Operasional Peternakan Ayam Petelur</v>
          </cell>
          <cell r="F23">
            <v>950000</v>
          </cell>
          <cell r="G23" t="str">
            <v>2-0100 Utang Usaha</v>
          </cell>
        </row>
        <row r="24">
          <cell r="C24" t="str">
            <v>Bayar Supplier Peternakan - Tunai</v>
          </cell>
          <cell r="E24" t="str">
            <v>2-0100 Utang Usaha</v>
          </cell>
          <cell r="F24">
            <v>950000</v>
          </cell>
          <cell r="G24" t="str">
            <v>1-1110 Kas</v>
          </cell>
        </row>
        <row r="25">
          <cell r="C25" t="str">
            <v>Jual Telur Grade A - Tunai</v>
          </cell>
          <cell r="E25" t="str">
            <v>1-1110 Kas</v>
          </cell>
          <cell r="F25">
            <v>1450000</v>
          </cell>
          <cell r="G25" t="str">
            <v>4-1200 Pendapatan Penjualan Hasil Produksi</v>
          </cell>
        </row>
        <row r="26">
          <cell r="C26" t="str">
            <v>Jual Telur Grade A - Tunai</v>
          </cell>
          <cell r="E26" t="str">
            <v>5-1200 HPP Barang Jadi / Hasil Produksi</v>
          </cell>
          <cell r="F26">
            <v>585118.86204287503</v>
          </cell>
          <cell r="G26" t="str">
            <v>1-1420 Persediaan Barang Jadi</v>
          </cell>
        </row>
        <row r="27">
          <cell r="C27" t="str">
            <v>Jual Telur Grade A - Transfer BRI</v>
          </cell>
          <cell r="E27" t="str">
            <v>1-1210 Bank BRI</v>
          </cell>
          <cell r="F27">
            <v>2250000</v>
          </cell>
          <cell r="G27" t="str">
            <v>4-1200 Pendapatan Penjualan Hasil Produksi</v>
          </cell>
        </row>
        <row r="28">
          <cell r="C28" t="str">
            <v>Jual Telur Grade A - Transfer BRI</v>
          </cell>
          <cell r="E28" t="str">
            <v>5-1200 HPP Barang Jadi / Hasil Produksi</v>
          </cell>
          <cell r="F28">
            <v>907943.06179066817</v>
          </cell>
          <cell r="G28" t="str">
            <v>1-1420 Persediaan Barang Jadi</v>
          </cell>
        </row>
        <row r="29">
          <cell r="C29" t="str">
            <v>Beli Obat/Vitamin - Tunai</v>
          </cell>
          <cell r="E29" t="str">
            <v>5-2210 Beban Operasional Peternakan Ayam Petelur</v>
          </cell>
          <cell r="F29">
            <v>375000</v>
          </cell>
          <cell r="G29" t="str">
            <v>1-1110 Kas</v>
          </cell>
        </row>
        <row r="30">
          <cell r="C30" t="str">
            <v>Beli Tray Telur</v>
          </cell>
          <cell r="E30" t="str">
            <v>5-2210 Beban Operasional Peternakan Ayam Petelur</v>
          </cell>
          <cell r="F30">
            <v>300000</v>
          </cell>
          <cell r="G30" t="str">
            <v>1-1110 Kas</v>
          </cell>
        </row>
        <row r="31">
          <cell r="C31" t="str">
            <v>Bayar Gaji Pekerja - Tunai</v>
          </cell>
          <cell r="E31" t="str">
            <v>5-2100 Beban Pegawai</v>
          </cell>
          <cell r="F31">
            <v>800000</v>
          </cell>
          <cell r="G31" t="str">
            <v>1-1110 Kas</v>
          </cell>
        </row>
        <row r="32">
          <cell r="C32" t="str">
            <v>Beli Kandang Ayam Baru - Tunai</v>
          </cell>
          <cell r="E32" t="str">
            <v>1-2020 Bangunan</v>
          </cell>
          <cell r="F32">
            <v>25000000</v>
          </cell>
          <cell r="G32" t="str">
            <v>1-1110 Kas</v>
          </cell>
        </row>
        <row r="33">
          <cell r="C33" t="str">
            <v>Beli Mesin - Tunai</v>
          </cell>
          <cell r="E33" t="str">
            <v>1-2040 Peralatan dan Mesin</v>
          </cell>
          <cell r="F33">
            <v>7500000</v>
          </cell>
          <cell r="G33" t="str">
            <v>1-1110 Kas</v>
          </cell>
        </row>
        <row r="34">
          <cell r="C34" t="str">
            <v>Terima Modal dari Desa - Kas</v>
          </cell>
          <cell r="E34" t="str">
            <v>1-1110 Kas</v>
          </cell>
          <cell r="F34">
            <v>15000000</v>
          </cell>
          <cell r="G34" t="str">
            <v>3-1100 Penyertaan Modal Desa</v>
          </cell>
        </row>
        <row r="35">
          <cell r="C35" t="str">
            <v>Bayar Bagi Hasil Desa</v>
          </cell>
          <cell r="E35" t="str">
            <v>3-1700 Bagi Hasil untuk Desa</v>
          </cell>
          <cell r="F35">
            <v>2000000</v>
          </cell>
          <cell r="G35" t="str">
            <v>1-1110 Kas</v>
          </cell>
        </row>
        <row r="36">
          <cell r="C36" t="str">
            <v>Jual Kandang Lama - Ada Rugi</v>
          </cell>
          <cell r="E36" t="str">
            <v>1-1210 Bank BRI</v>
          </cell>
          <cell r="F36">
            <v>12500000</v>
          </cell>
          <cell r="G36" t="str">
            <v>1-2020 Bangunan</v>
          </cell>
        </row>
        <row r="37">
          <cell r="C37" t="str">
            <v>Jual Kandang Lama - Ada Rugi</v>
          </cell>
          <cell r="E37" t="str">
            <v>1-2091 Akumulasi Penyusutan Bangunan</v>
          </cell>
          <cell r="F37">
            <v>2925000</v>
          </cell>
          <cell r="G37" t="str">
            <v>1-2020 Bangunan</v>
          </cell>
        </row>
        <row r="38">
          <cell r="C38" t="str">
            <v>Jual Kandang Lama - Ada Rugi</v>
          </cell>
          <cell r="E38" t="str">
            <v>5-3204 Rugi Penjualan Aset Tetap</v>
          </cell>
          <cell r="F38">
            <v>38575000</v>
          </cell>
          <cell r="G38" t="str">
            <v>1-2020 Bangunan</v>
          </cell>
        </row>
        <row r="39">
          <cell r="C39" t="str">
            <v>Bayar Pajak Usaha - Tunai</v>
          </cell>
          <cell r="E39" t="str">
            <v>5-2800 Beban Pajak</v>
          </cell>
          <cell r="F39">
            <v>500000</v>
          </cell>
          <cell r="G39" t="str">
            <v>1-1110 Kas</v>
          </cell>
        </row>
        <row r="44">
          <cell r="C44" t="str">
            <v>Deskripsi Transaksi</v>
          </cell>
          <cell r="E44" t="str">
            <v>Akun Debit</v>
          </cell>
          <cell r="F44" t="str">
            <v>Nominal</v>
          </cell>
          <cell r="G44" t="str">
            <v>Akun Kredit</v>
          </cell>
        </row>
        <row r="45">
          <cell r="C45" t="str">
            <v>Jual Barang - Tunai</v>
          </cell>
          <cell r="E45" t="str">
            <v>1-1110 Kas</v>
          </cell>
          <cell r="F45">
            <v>750000</v>
          </cell>
          <cell r="G45" t="str">
            <v>4-1100 Pendapatan Penjualan Barang Dagangan</v>
          </cell>
        </row>
        <row r="46">
          <cell r="C46" t="str">
            <v>Jual Barang - Tunai</v>
          </cell>
          <cell r="E46" t="str">
            <v>5-1100 HPP Barang Dagangan</v>
          </cell>
          <cell r="F46">
            <v>680000</v>
          </cell>
          <cell r="G46" t="str">
            <v>1-1410 Persediaan Barang Dagangan</v>
          </cell>
        </row>
        <row r="47">
          <cell r="C47" t="str">
            <v>Jual Barang - Tunai</v>
          </cell>
          <cell r="E47" t="str">
            <v>1-1110 Kas</v>
          </cell>
          <cell r="F47">
            <v>360000</v>
          </cell>
          <cell r="G47" t="str">
            <v>4-1100 Pendapatan Penjualan Barang Dagangan</v>
          </cell>
        </row>
        <row r="48">
          <cell r="C48" t="str">
            <v>Jual Barang - Tunai</v>
          </cell>
          <cell r="E48" t="str">
            <v>5-1100 HPP Barang Dagangan</v>
          </cell>
          <cell r="F48">
            <v>310000</v>
          </cell>
          <cell r="G48" t="str">
            <v>1-1410 Persediaan Barang Dagangan</v>
          </cell>
        </row>
        <row r="49">
          <cell r="C49" t="str">
            <v>Jual Barang - Transfer/QRIS</v>
          </cell>
          <cell r="E49" t="str">
            <v>1-1210 Bank BRI</v>
          </cell>
          <cell r="F49">
            <v>330000</v>
          </cell>
          <cell r="G49" t="str">
            <v>4-1100 Pendapatan Penjualan Barang Dagangan</v>
          </cell>
        </row>
        <row r="50">
          <cell r="C50" t="str">
            <v>Jual Barang - Transfer/QRIS</v>
          </cell>
          <cell r="E50" t="str">
            <v>5-1100 HPP Barang Dagangan</v>
          </cell>
          <cell r="F50">
            <v>280000</v>
          </cell>
          <cell r="G50" t="str">
            <v>1-1410 Persediaan Barang Dagangan</v>
          </cell>
        </row>
        <row r="51">
          <cell r="C51" t="str">
            <v>Jual Barang - Transfer/QRIS</v>
          </cell>
          <cell r="E51" t="str">
            <v>1-1210 Bank BRI</v>
          </cell>
          <cell r="F51">
            <v>70000</v>
          </cell>
          <cell r="G51" t="str">
            <v>4-1100 Pendapatan Penjualan Barang Dagangan</v>
          </cell>
        </row>
        <row r="52">
          <cell r="C52" t="str">
            <v>Jual Barang - Transfer/QRIS</v>
          </cell>
          <cell r="E52" t="str">
            <v>5-1100 HPP Barang Dagangan</v>
          </cell>
          <cell r="F52">
            <v>56000</v>
          </cell>
          <cell r="G52" t="str">
            <v>1-1410 Persediaan Barang Dagangan</v>
          </cell>
        </row>
        <row r="53">
          <cell r="C53" t="str">
            <v>Beli Barang Dagang - Belum Dibayar</v>
          </cell>
          <cell r="E53" t="str">
            <v>1-1410 Persediaan Barang Dagangan</v>
          </cell>
          <cell r="F53">
            <v>1400000</v>
          </cell>
          <cell r="G53" t="str">
            <v>2-0100 Utang Usaha</v>
          </cell>
        </row>
        <row r="54">
          <cell r="C54" t="str">
            <v>Beli Barang Dagang - Belum Dibayar</v>
          </cell>
          <cell r="E54" t="str">
            <v>1-1410 Persediaan Barang Dagangan</v>
          </cell>
          <cell r="F54">
            <v>1120000</v>
          </cell>
          <cell r="G54" t="str">
            <v>2-0100 Utang Usaha</v>
          </cell>
        </row>
        <row r="55">
          <cell r="C55" t="str">
            <v>Bayar Supplier Minimarket</v>
          </cell>
          <cell r="E55" t="str">
            <v>2-0100 Utang Usaha</v>
          </cell>
          <cell r="F55">
            <v>1400000</v>
          </cell>
          <cell r="G55" t="str">
            <v>1-1110 Kas</v>
          </cell>
        </row>
        <row r="56">
          <cell r="C56" t="str">
            <v>Bayar Supplier Minimarket</v>
          </cell>
          <cell r="E56" t="str">
            <v>2-0100 Utang Usaha</v>
          </cell>
          <cell r="F56">
            <v>1120000</v>
          </cell>
          <cell r="G56" t="str">
            <v>1-1110 Kas</v>
          </cell>
        </row>
        <row r="57">
          <cell r="C57" t="str">
            <v>Beli Barang Dagang - Tunai</v>
          </cell>
          <cell r="E57" t="str">
            <v>1-1410 Persediaan Barang Dagangan</v>
          </cell>
          <cell r="F57">
            <v>2040000</v>
          </cell>
          <cell r="G57" t="str">
            <v>1-1110 Kas</v>
          </cell>
        </row>
        <row r="58">
          <cell r="C58" t="str">
            <v>Beli Barang Dagang - Tunai</v>
          </cell>
          <cell r="E58" t="str">
            <v>1-1410 Persediaan Barang Dagangan</v>
          </cell>
          <cell r="F58">
            <v>1550000</v>
          </cell>
          <cell r="G58" t="str">
            <v>1-1110 Kas</v>
          </cell>
        </row>
        <row r="59">
          <cell r="C59" t="str">
            <v>Bayar Gaji Karyawan</v>
          </cell>
          <cell r="E59" t="str">
            <v>5-2100 Beban Pegawai</v>
          </cell>
          <cell r="F59">
            <v>1200000</v>
          </cell>
          <cell r="G59" t="str">
            <v>1-1110 Kas</v>
          </cell>
        </row>
        <row r="60">
          <cell r="C60" t="str">
            <v>Bayar Gaji Karyawan</v>
          </cell>
          <cell r="E60" t="str">
            <v>5-2100 Beban Pegawai</v>
          </cell>
          <cell r="F60">
            <v>850000</v>
          </cell>
          <cell r="G60" t="str">
            <v>1-1110 Kas</v>
          </cell>
        </row>
        <row r="61">
          <cell r="C61" t="str">
            <v>Bayar Listrik Toko</v>
          </cell>
          <cell r="E61" t="str">
            <v>5-2300 Beban Utilitas</v>
          </cell>
          <cell r="F61">
            <v>650000</v>
          </cell>
          <cell r="G61" t="str">
            <v>1-1110 Kas</v>
          </cell>
        </row>
        <row r="62">
          <cell r="C62" t="str">
            <v>Bayar Listrik Toko</v>
          </cell>
          <cell r="E62" t="str">
            <v>5-2300 Beban Utilitas</v>
          </cell>
          <cell r="F62">
            <v>475000</v>
          </cell>
          <cell r="G62" t="str">
            <v>1-1110 Kas</v>
          </cell>
        </row>
        <row r="63">
          <cell r="C63" t="str">
            <v>Beli Perlengkapan Toko</v>
          </cell>
          <cell r="E63" t="str">
            <v>1-1510 Perlengkapan</v>
          </cell>
          <cell r="F63">
            <v>300000</v>
          </cell>
          <cell r="G63" t="str">
            <v>1-1110 Kas</v>
          </cell>
        </row>
        <row r="64">
          <cell r="C64" t="str">
            <v>Beli Perlengkapan Toko</v>
          </cell>
          <cell r="E64" t="str">
            <v>1-1510 Perlengkapan</v>
          </cell>
          <cell r="F64">
            <v>225000</v>
          </cell>
          <cell r="G64" t="str">
            <v>1-1110 Kas</v>
          </cell>
        </row>
        <row r="65">
          <cell r="C65" t="str">
            <v>Beli ATK</v>
          </cell>
          <cell r="E65" t="str">
            <v>5-2200 Beban Administrasi dan Umum</v>
          </cell>
          <cell r="F65">
            <v>175000</v>
          </cell>
          <cell r="G65" t="str">
            <v>1-1110 Kas</v>
          </cell>
        </row>
        <row r="66">
          <cell r="C66" t="str">
            <v>Beli ATK</v>
          </cell>
          <cell r="E66" t="str">
            <v>5-2200 Beban Administrasi dan Umum</v>
          </cell>
          <cell r="F66">
            <v>150000</v>
          </cell>
          <cell r="G66" t="str">
            <v>1-1110 Kas</v>
          </cell>
        </row>
        <row r="67">
          <cell r="C67" t="str">
            <v>Bayar Biaya Kebersihan</v>
          </cell>
          <cell r="E67" t="str">
            <v>5-2211 Beban Operasional Minimarket Desa Mart</v>
          </cell>
          <cell r="F67">
            <v>250000</v>
          </cell>
          <cell r="G67" t="str">
            <v>1-1110 Kas</v>
          </cell>
        </row>
        <row r="68">
          <cell r="C68" t="str">
            <v>Bayar Biaya Kebersihan</v>
          </cell>
          <cell r="E68" t="str">
            <v>5-2211 Beban Operasional Minimarket Desa Mart</v>
          </cell>
          <cell r="F68">
            <v>200000</v>
          </cell>
          <cell r="G68" t="str">
            <v>1-1110 Kas</v>
          </cell>
        </row>
        <row r="69">
          <cell r="C69" t="str">
            <v>Jual Rak Toko Lama - Ada Rugi</v>
          </cell>
          <cell r="E69" t="str">
            <v>1-1110 Kas</v>
          </cell>
          <cell r="F69">
            <v>10000000</v>
          </cell>
          <cell r="G69" t="str">
            <v>1-2050 Meubelair/Inventaris</v>
          </cell>
        </row>
        <row r="70">
          <cell r="C70" t="str">
            <v>Jual Rak Toko Lama - Ada Rugi</v>
          </cell>
          <cell r="E70" t="str">
            <v>1-2094 Akumulasi Penyusutan Meubelair/Inventaris</v>
          </cell>
          <cell r="F70">
            <v>650000</v>
          </cell>
          <cell r="G70" t="str">
            <v>1-2050 Meubelair/Inventaris</v>
          </cell>
        </row>
        <row r="71">
          <cell r="C71" t="str">
            <v>Jual Rak Toko Lama - Ada Rugi</v>
          </cell>
          <cell r="E71" t="str">
            <v>5-3204 Rugi Penjualan Aset Tetap</v>
          </cell>
          <cell r="F71">
            <v>8850000</v>
          </cell>
          <cell r="G71" t="str">
            <v>1-2050 Meubelair/Inventaris</v>
          </cell>
        </row>
        <row r="72">
          <cell r="C72" t="str">
            <v>Beli Rak Toko Baru - Tunai</v>
          </cell>
          <cell r="E72" t="str">
            <v>1-2050 Meubelair/Inventaris</v>
          </cell>
          <cell r="F72">
            <v>5000000</v>
          </cell>
          <cell r="G72" t="str">
            <v>1-1110 Kas</v>
          </cell>
        </row>
        <row r="73">
          <cell r="C73" t="str">
            <v>Beli Rak Toko Baru - Tunai</v>
          </cell>
          <cell r="E73" t="str">
            <v>1-2050 Meubelair/Inventaris</v>
          </cell>
          <cell r="F73">
            <v>3500000</v>
          </cell>
          <cell r="G73" t="str">
            <v>1-1110 Kas</v>
          </cell>
        </row>
        <row r="74">
          <cell r="C74" t="str">
            <v>Beli Mesin Kasir - Tunai</v>
          </cell>
          <cell r="E74" t="str">
            <v>1-2040 Peralatan dan Mesin</v>
          </cell>
          <cell r="F74">
            <v>6500000</v>
          </cell>
          <cell r="G74" t="str">
            <v>1-1110 Kas</v>
          </cell>
        </row>
        <row r="75">
          <cell r="C75" t="str">
            <v>Beli Mesin Kasir - Tunai</v>
          </cell>
          <cell r="E75" t="str">
            <v>1-2040 Peralatan dan Mesin</v>
          </cell>
          <cell r="F75">
            <v>6000000</v>
          </cell>
          <cell r="G75" t="str">
            <v>1-1110 Kas</v>
          </cell>
        </row>
        <row r="76">
          <cell r="C76" t="str">
            <v>Terima Modal dari Desa - Kas</v>
          </cell>
          <cell r="E76" t="str">
            <v>1-1110 Kas</v>
          </cell>
          <cell r="F76">
            <v>15000000</v>
          </cell>
          <cell r="G76" t="str">
            <v>3-1100 Penyertaan Modal Desa</v>
          </cell>
        </row>
        <row r="77">
          <cell r="C77" t="str">
            <v>Terima Modal dari Desa - Bank</v>
          </cell>
          <cell r="E77" t="str">
            <v>1-1210 Bank BRI</v>
          </cell>
          <cell r="F77">
            <v>10000000</v>
          </cell>
          <cell r="G77" t="str">
            <v>3-1100 Penyertaan Modal Desa</v>
          </cell>
        </row>
        <row r="78">
          <cell r="C78" t="str">
            <v>Terima Modal dari Warga - Kas</v>
          </cell>
          <cell r="E78" t="str">
            <v>1-1110 Kas</v>
          </cell>
          <cell r="F78">
            <v>5000000</v>
          </cell>
          <cell r="G78" t="str">
            <v>3-1200 Penyertaan Modal Masyarakat</v>
          </cell>
        </row>
        <row r="79">
          <cell r="C79" t="str">
            <v>Terima Modal dari Warga - Kas</v>
          </cell>
          <cell r="E79" t="str">
            <v>1-1110 Kas</v>
          </cell>
          <cell r="F79">
            <v>3500000</v>
          </cell>
          <cell r="G79" t="str">
            <v>3-1200 Penyertaan Modal Masyarakat</v>
          </cell>
        </row>
        <row r="80">
          <cell r="C80" t="str">
            <v>Bagi Hasil ke Warga</v>
          </cell>
          <cell r="E80" t="str">
            <v>3-1800 Bagi Hasil untuk Masyarakat</v>
          </cell>
          <cell r="F80">
            <v>750000</v>
          </cell>
          <cell r="G80" t="str">
            <v>1-1110 Kas</v>
          </cell>
        </row>
        <row r="81">
          <cell r="C81" t="str">
            <v>Bagi Hasil ke Warga</v>
          </cell>
          <cell r="E81" t="str">
            <v>3-1800 Bagi Hasil untuk Masyarakat</v>
          </cell>
          <cell r="F81">
            <v>500000</v>
          </cell>
          <cell r="G81" t="str">
            <v>1-1110 Kas</v>
          </cell>
        </row>
        <row r="82">
          <cell r="C82" t="str">
            <v>Perbaiki catatan penjualan toko</v>
          </cell>
          <cell r="E82" t="str">
            <v>4-2300 Pendapatan Lain-lain Non-Operasional</v>
          </cell>
          <cell r="F82">
            <v>0</v>
          </cell>
          <cell r="G82" t="str">
            <v>4-1100 Pendapatan Penjualan Barang Dagangan</v>
          </cell>
        </row>
        <row r="83">
          <cell r="C83" t="str">
            <v>Perbaiki catatan penjualan toko</v>
          </cell>
          <cell r="E83" t="str">
            <v>4-2300 Pendapatan Lain-lain Non-Operasional</v>
          </cell>
          <cell r="F83">
            <v>0</v>
          </cell>
          <cell r="G83" t="str">
            <v>4-1100 Pendapatan Penjualan Barang Dagangan</v>
          </cell>
        </row>
        <row r="84">
          <cell r="C84" t="str">
            <v>Koreksi pembelian ke perlengkapan toko</v>
          </cell>
          <cell r="E84" t="str">
            <v>1-1510 Perlengkapan</v>
          </cell>
          <cell r="F84">
            <v>225000</v>
          </cell>
          <cell r="G84" t="str">
            <v>5-2200 Beban Administrasi dan Umum</v>
          </cell>
        </row>
        <row r="85">
          <cell r="C85" t="str">
            <v>Koreksi pembelian ke perlengkapan toko</v>
          </cell>
          <cell r="E85" t="str">
            <v>1-1510 Perlengkapan</v>
          </cell>
          <cell r="F85">
            <v>175000</v>
          </cell>
          <cell r="G85" t="str">
            <v>5-2200 Beban Administrasi dan Umum</v>
          </cell>
        </row>
        <row r="90">
          <cell r="C90" t="str">
            <v>Deskripsi Transaksi</v>
          </cell>
          <cell r="E90" t="str">
            <v>Akun Debit</v>
          </cell>
          <cell r="F90" t="str">
            <v>Nominal</v>
          </cell>
          <cell r="G90" t="str">
            <v>Akun Kredit</v>
          </cell>
        </row>
        <row r="91">
          <cell r="C91" t="str">
            <v>Penerimaan Jasa Tunai</v>
          </cell>
          <cell r="E91" t="str">
            <v>1-1110 Kas</v>
          </cell>
          <cell r="F91">
            <v>350000</v>
          </cell>
          <cell r="G91" t="str">
            <v>4-1300 Pendapatan Jasa</v>
          </cell>
        </row>
        <row r="92">
          <cell r="C92" t="str">
            <v>Penerimaan Jasa Tunai</v>
          </cell>
          <cell r="E92" t="str">
            <v>1-1110 Kas</v>
          </cell>
          <cell r="F92">
            <v>275000</v>
          </cell>
          <cell r="G92" t="str">
            <v>4-1300 Pendapatan Jasa</v>
          </cell>
        </row>
        <row r="93">
          <cell r="C93" t="str">
            <v>Penerimaan Jasa Transfer</v>
          </cell>
          <cell r="E93" t="str">
            <v>1-1210 Bank BRI</v>
          </cell>
          <cell r="F93">
            <v>650000</v>
          </cell>
          <cell r="G93" t="str">
            <v>4-1300 Pendapatan Jasa</v>
          </cell>
        </row>
        <row r="94">
          <cell r="C94" t="str">
            <v>Penerimaan Jasa Transfer</v>
          </cell>
          <cell r="E94" t="str">
            <v>1-1210 Bank BRI</v>
          </cell>
          <cell r="F94">
            <v>525000</v>
          </cell>
          <cell r="G94" t="str">
            <v>4-1300 Pendapatan Jasa</v>
          </cell>
        </row>
        <row r="95">
          <cell r="C95" t="str">
            <v>Bayar Gaji Tenaga Jasa</v>
          </cell>
          <cell r="E95" t="str">
            <v>5-2100 Beban Pegawai</v>
          </cell>
          <cell r="F95">
            <v>1200000</v>
          </cell>
          <cell r="G95" t="str">
            <v>1-1210 Bank BRI</v>
          </cell>
        </row>
        <row r="96">
          <cell r="C96" t="str">
            <v>Bayar Gaji Tenaga Jasa</v>
          </cell>
          <cell r="E96" t="str">
            <v>5-2100 Beban Pegawai</v>
          </cell>
          <cell r="F96">
            <v>850000</v>
          </cell>
          <cell r="G96" t="str">
            <v>1-1210 Bank BRI</v>
          </cell>
        </row>
        <row r="97">
          <cell r="C97" t="str">
            <v>Beli ATK</v>
          </cell>
          <cell r="E97" t="str">
            <v>5-2200 Beban Administrasi dan Umum</v>
          </cell>
          <cell r="F97">
            <v>175000</v>
          </cell>
          <cell r="G97" t="str">
            <v>1-1210 Bank BRI</v>
          </cell>
        </row>
        <row r="98">
          <cell r="C98" t="str">
            <v>Beli ATK</v>
          </cell>
          <cell r="E98" t="str">
            <v>5-2200 Beban Administrasi dan Umum</v>
          </cell>
          <cell r="F98">
            <v>225000</v>
          </cell>
          <cell r="G98" t="str">
            <v>1-1210 Bank BRI</v>
          </cell>
        </row>
        <row r="99">
          <cell r="C99" t="str">
            <v>Bayar Listrik</v>
          </cell>
          <cell r="E99" t="str">
            <v>5-2300 Beban Utilitas</v>
          </cell>
          <cell r="F99">
            <v>475000</v>
          </cell>
          <cell r="G99" t="str">
            <v>1-1210 Bank BRI</v>
          </cell>
        </row>
        <row r="100">
          <cell r="C100" t="str">
            <v>Bayar Listrik</v>
          </cell>
          <cell r="E100" t="str">
            <v>5-2300 Beban Utilitas</v>
          </cell>
          <cell r="F100">
            <v>325000</v>
          </cell>
          <cell r="G100" t="str">
            <v>1-1210 Bank BRI</v>
          </cell>
        </row>
        <row r="101">
          <cell r="C101" t="str">
            <v>Bayar Internet</v>
          </cell>
          <cell r="E101" t="str">
            <v>5-2212 Beban Operasional Layanan Jasa Desa Prima</v>
          </cell>
          <cell r="F101">
            <v>350000</v>
          </cell>
          <cell r="G101" t="str">
            <v>1-1210 Bank BRI</v>
          </cell>
        </row>
        <row r="102">
          <cell r="C102" t="str">
            <v>Bayar Internet</v>
          </cell>
          <cell r="E102" t="str">
            <v>5-2212 Beban Operasional Layanan Jasa Desa Prima</v>
          </cell>
          <cell r="F102">
            <v>275000</v>
          </cell>
          <cell r="G102" t="str">
            <v>1-1210 Bank BRI</v>
          </cell>
        </row>
        <row r="103">
          <cell r="C103" t="str">
            <v>Bayar Transport Operasional</v>
          </cell>
          <cell r="E103" t="str">
            <v>5-2212 Beban Operasional Layanan Jasa Desa Prima</v>
          </cell>
          <cell r="F103">
            <v>150000</v>
          </cell>
          <cell r="G103" t="str">
            <v>1-1210 Bank BRI</v>
          </cell>
        </row>
        <row r="104">
          <cell r="C104" t="str">
            <v>Bayar Transport Operasional</v>
          </cell>
          <cell r="E104" t="str">
            <v>5-2212 Beban Operasional Layanan Jasa Desa Prima</v>
          </cell>
          <cell r="F104">
            <v>125000</v>
          </cell>
          <cell r="G104" t="str">
            <v>1-1210 Bank BRI</v>
          </cell>
        </row>
        <row r="105">
          <cell r="C105" t="str">
            <v>Beli Perlengkapan Jasa</v>
          </cell>
          <cell r="E105" t="str">
            <v>1-1510 Perlengkapan</v>
          </cell>
          <cell r="F105">
            <v>450000</v>
          </cell>
          <cell r="G105" t="str">
            <v>1-1210 Bank BRI</v>
          </cell>
        </row>
        <row r="106">
          <cell r="C106" t="str">
            <v>Beli Perlengkapan Jasa</v>
          </cell>
          <cell r="E106" t="str">
            <v>1-1510 Perlengkapan</v>
          </cell>
          <cell r="F106">
            <v>960000</v>
          </cell>
          <cell r="G106" t="str">
            <v>1-1210 Bank BRI</v>
          </cell>
        </row>
        <row r="107">
          <cell r="C107" t="str">
            <v>Bayar Sewa Tempat</v>
          </cell>
          <cell r="E107" t="str">
            <v>5-2600 Beban Sewa dan Asuransi</v>
          </cell>
          <cell r="F107">
            <v>1000000</v>
          </cell>
          <cell r="G107" t="str">
            <v>1-1210 Bank BRI</v>
          </cell>
        </row>
        <row r="108">
          <cell r="C108" t="str">
            <v>Bayar Sewa Tempat</v>
          </cell>
          <cell r="E108" t="str">
            <v>5-2600 Beban Sewa dan Asuransi</v>
          </cell>
          <cell r="F108">
            <v>350000</v>
          </cell>
          <cell r="G108" t="str">
            <v>1-1210 Bank BRI</v>
          </cell>
        </row>
        <row r="109">
          <cell r="C109" t="str">
            <v>Bayar Biaya Lainnya</v>
          </cell>
          <cell r="E109" t="str">
            <v>5-2212 Beban Operasional Layanan Jasa Desa Prima</v>
          </cell>
          <cell r="F109">
            <v>200000</v>
          </cell>
          <cell r="G109" t="str">
            <v>1-1210 Bank BRI</v>
          </cell>
        </row>
        <row r="110">
          <cell r="C110" t="str">
            <v>Bayar Biaya Lainnya</v>
          </cell>
          <cell r="E110" t="str">
            <v>5-2212 Beban Operasional Layanan Jasa Desa Prima</v>
          </cell>
          <cell r="F110">
            <v>100000</v>
          </cell>
          <cell r="G110" t="str">
            <v>1-1210 Bank BRI</v>
          </cell>
        </row>
        <row r="111">
          <cell r="C111" t="str">
            <v>Jual Peralatan Lama - Ada Laba</v>
          </cell>
          <cell r="E111" t="str">
            <v>1-1110 Kas</v>
          </cell>
          <cell r="F111">
            <v>4350000</v>
          </cell>
          <cell r="G111" t="str">
            <v>1-2040 Peralatan dan Mesin</v>
          </cell>
        </row>
        <row r="112">
          <cell r="C112" t="str">
            <v>Jual Peralatan Lama - Ada Laba</v>
          </cell>
          <cell r="E112" t="str">
            <v>1-2093 Akumulasi Penyusutan Peralatan dan Mesin</v>
          </cell>
          <cell r="F112">
            <v>183334</v>
          </cell>
          <cell r="G112" t="str">
            <v>4-2200 Laba Penjualan Aset Tetap</v>
          </cell>
        </row>
        <row r="113">
          <cell r="C113" t="str">
            <v>Jual Peralatan Lama - Ada Laba</v>
          </cell>
          <cell r="E113" t="str">
            <v>1-1110 Kas</v>
          </cell>
          <cell r="F113">
            <v>9500000</v>
          </cell>
          <cell r="G113" t="str">
            <v>1-2040 Peralatan dan Mesin</v>
          </cell>
        </row>
        <row r="114">
          <cell r="C114" t="str">
            <v>Jual Peralatan Lama - Ada Laba</v>
          </cell>
          <cell r="E114" t="str">
            <v>1-2093 Akumulasi Penyusutan Peralatan dan Mesin</v>
          </cell>
          <cell r="F114">
            <v>120000</v>
          </cell>
          <cell r="G114" t="str">
            <v>4-2200 Laba Penjualan Aset Tetap</v>
          </cell>
        </row>
        <row r="115">
          <cell r="C115" t="str">
            <v>Beli Peralatan Jasa Baru - Tunai/Transfer</v>
          </cell>
          <cell r="E115" t="str">
            <v>1-2040 Peralatan dan Mesin</v>
          </cell>
          <cell r="F115">
            <v>4500000</v>
          </cell>
          <cell r="G115" t="str">
            <v>1-1210 Bank BRI</v>
          </cell>
        </row>
        <row r="116">
          <cell r="C116" t="str">
            <v>Beli Peralatan Jasa Baru - Tunai/Transfer</v>
          </cell>
          <cell r="E116" t="str">
            <v>1-2040 Peralatan dan Mesin</v>
          </cell>
          <cell r="F116">
            <v>7200000</v>
          </cell>
          <cell r="G116" t="str">
            <v>1-1210 Bank BRI</v>
          </cell>
        </row>
        <row r="117">
          <cell r="C117" t="str">
            <v>Simpan Dana ke Investasi Jangka Panjang</v>
          </cell>
          <cell r="E117" t="str">
            <v>1-3010 Investasi Jangka Panjang</v>
          </cell>
          <cell r="F117">
            <v>5000000</v>
          </cell>
          <cell r="G117" t="str">
            <v>1-1210 Bank BRI</v>
          </cell>
        </row>
        <row r="118">
          <cell r="C118" t="str">
            <v>Simpan Dana ke Investasi Jangka Panjang</v>
          </cell>
          <cell r="E118" t="str">
            <v>1-3010 Investasi Jangka Panjang</v>
          </cell>
          <cell r="F118">
            <v>3000000</v>
          </cell>
          <cell r="G118" t="str">
            <v>1-1211 Bank Jatim</v>
          </cell>
        </row>
        <row r="119">
          <cell r="C119" t="str">
            <v>Terima Modal dari Desa - Bank</v>
          </cell>
          <cell r="E119" t="str">
            <v>1-1210 Bank BRI</v>
          </cell>
          <cell r="F119">
            <v>10000000</v>
          </cell>
          <cell r="G119" t="str">
            <v>3-1100 Penyertaan Modal Desa</v>
          </cell>
        </row>
        <row r="120">
          <cell r="C120" t="str">
            <v>Terima Modal dari Desa - Bank</v>
          </cell>
          <cell r="E120" t="str">
            <v>1-1210 Bank BRI</v>
          </cell>
          <cell r="F120">
            <v>7500000</v>
          </cell>
          <cell r="G120" t="str">
            <v>3-1100 Penyertaan Modal Desa</v>
          </cell>
        </row>
        <row r="121">
          <cell r="C121" t="str">
            <v>Terima Pinjaman Bank</v>
          </cell>
          <cell r="E121" t="str">
            <v>1-1210 Bank BRI</v>
          </cell>
          <cell r="F121">
            <v>15000000</v>
          </cell>
          <cell r="G121" t="str">
            <v>2-1100 Utang Bank Jangka Panjang</v>
          </cell>
        </row>
        <row r="122">
          <cell r="C122" t="str">
            <v>Terima Pinjaman Bank</v>
          </cell>
          <cell r="E122" t="str">
            <v>1-1210 Bank BRI</v>
          </cell>
          <cell r="F122">
            <v>5000000</v>
          </cell>
          <cell r="G122" t="str">
            <v>2-1100 Utang Bank Jangka Panjang</v>
          </cell>
        </row>
        <row r="123">
          <cell r="C123" t="str">
            <v>Bayar Bagi Hasil Desa</v>
          </cell>
          <cell r="E123" t="str">
            <v>3-1700 Bagi Hasil untuk Desa</v>
          </cell>
          <cell r="F123">
            <v>2500000</v>
          </cell>
          <cell r="G123" t="str">
            <v>1-1110 Kas</v>
          </cell>
        </row>
        <row r="124">
          <cell r="C124" t="str">
            <v>Bayar Bagi Hasil Desa</v>
          </cell>
          <cell r="E124" t="str">
            <v>3-1700 Bagi Hasil untuk Desa</v>
          </cell>
          <cell r="F124">
            <v>1500000</v>
          </cell>
          <cell r="G124" t="str">
            <v>1-1110 Kas</v>
          </cell>
        </row>
        <row r="125">
          <cell r="C125" t="str">
            <v>Koreksi biaya ke beban operasional layanan jasa</v>
          </cell>
          <cell r="E125" t="str">
            <v>5-2212 Beban Operasional Layanan Jasa Desa Prima</v>
          </cell>
          <cell r="F125">
            <v>150000</v>
          </cell>
          <cell r="G125" t="str">
            <v>5-2200 Beban Administrasi dan Umum</v>
          </cell>
        </row>
        <row r="126">
          <cell r="C126" t="str">
            <v>Koreksi biaya ke beban operasional layanan jasa</v>
          </cell>
          <cell r="E126" t="str">
            <v>5-2212 Beban Operasional Layanan Jasa Desa Prima</v>
          </cell>
          <cell r="F126">
            <v>100000</v>
          </cell>
          <cell r="G126" t="str">
            <v>5-2200 Beban Administrasi dan Umum</v>
          </cell>
        </row>
        <row r="132">
          <cell r="C132" t="str">
            <v>Nama Akun</v>
          </cell>
          <cell r="E132" t="str">
            <v>Kredit</v>
          </cell>
        </row>
        <row r="133">
          <cell r="C133" t="str">
            <v>Kas</v>
          </cell>
          <cell r="E133">
            <v>45775000</v>
          </cell>
        </row>
        <row r="134">
          <cell r="C134" t="str">
            <v>Bank BRI</v>
          </cell>
          <cell r="E134">
            <v>0</v>
          </cell>
        </row>
        <row r="135">
          <cell r="C135" t="str">
            <v>Persediaan Barang Jadi</v>
          </cell>
          <cell r="E135">
            <v>4238281.0841694092</v>
          </cell>
        </row>
        <row r="136">
          <cell r="C136" t="str">
            <v>Bangunan</v>
          </cell>
          <cell r="E136">
            <v>54000000</v>
          </cell>
        </row>
        <row r="137">
          <cell r="C137" t="str">
            <v>Peralatan dan Mesin</v>
          </cell>
          <cell r="E137">
            <v>0</v>
          </cell>
        </row>
        <row r="138">
          <cell r="C138" t="str">
            <v>Akumulasi Penyusutan Bangunan</v>
          </cell>
          <cell r="E138">
            <v>0</v>
          </cell>
        </row>
        <row r="139">
          <cell r="C139" t="str">
            <v>Utang Usaha</v>
          </cell>
          <cell r="E139">
            <v>950000</v>
          </cell>
        </row>
        <row r="140">
          <cell r="C140" t="str">
            <v>Penyertaan Modal Desa</v>
          </cell>
          <cell r="E140">
            <v>15000000</v>
          </cell>
        </row>
        <row r="141">
          <cell r="C141" t="str">
            <v>Bagi Hasil untuk Desa</v>
          </cell>
          <cell r="E141">
            <v>0</v>
          </cell>
        </row>
        <row r="142">
          <cell r="C142" t="str">
            <v>Pendapatan Penjualan Hasil Produksi</v>
          </cell>
          <cell r="E142">
            <v>9900000</v>
          </cell>
        </row>
        <row r="143">
          <cell r="C143" t="str">
            <v>HPP Barang Jadi / Hasil Produksi</v>
          </cell>
          <cell r="E143">
            <v>0</v>
          </cell>
        </row>
        <row r="144">
          <cell r="C144" t="str">
            <v>Beban Produksi Langsung</v>
          </cell>
          <cell r="E144">
            <v>0</v>
          </cell>
        </row>
        <row r="145">
          <cell r="C145" t="str">
            <v>Beban Operasional Peternakan Ayam Petelur</v>
          </cell>
          <cell r="E145">
            <v>0</v>
          </cell>
        </row>
        <row r="146">
          <cell r="C146" t="str">
            <v>Beban Pegawai</v>
          </cell>
          <cell r="E146">
            <v>0</v>
          </cell>
        </row>
        <row r="147">
          <cell r="C147" t="str">
            <v>Beban Administrasi dan Umum</v>
          </cell>
          <cell r="E147">
            <v>0</v>
          </cell>
        </row>
        <row r="148">
          <cell r="C148" t="str">
            <v>Beban Sewa dan Asuransi</v>
          </cell>
          <cell r="E148">
            <v>0</v>
          </cell>
        </row>
        <row r="149">
          <cell r="C149" t="str">
            <v>Rugi Penjualan Aset Tetap</v>
          </cell>
          <cell r="E149">
            <v>0</v>
          </cell>
        </row>
        <row r="151">
          <cell r="E151">
            <v>129863281.08416942</v>
          </cell>
        </row>
        <row r="154">
          <cell r="C154" t="str">
            <v>Nama Akun</v>
          </cell>
          <cell r="E154" t="str">
            <v>Kredit</v>
          </cell>
        </row>
        <row r="155">
          <cell r="C155" t="str">
            <v>Kas</v>
          </cell>
          <cell r="E155">
            <v>32835000</v>
          </cell>
        </row>
        <row r="156">
          <cell r="C156" t="str">
            <v>Bank BRI</v>
          </cell>
          <cell r="E156">
            <v>0</v>
          </cell>
        </row>
        <row r="157">
          <cell r="C157" t="str">
            <v>Persediaan Barang Dagangan</v>
          </cell>
          <cell r="E157">
            <v>1326000</v>
          </cell>
        </row>
        <row r="158">
          <cell r="C158" t="str">
            <v>Perlengkapan</v>
          </cell>
          <cell r="E158">
            <v>0</v>
          </cell>
        </row>
        <row r="159">
          <cell r="C159" t="str">
            <v>Peralatan dan Mesin</v>
          </cell>
          <cell r="E159">
            <v>0</v>
          </cell>
        </row>
        <row r="160">
          <cell r="C160" t="str">
            <v>Meubelair/Inventaris</v>
          </cell>
          <cell r="E160">
            <v>19500000</v>
          </cell>
        </row>
        <row r="161">
          <cell r="C161" t="str">
            <v>Akumulasi Penyusutan Meubelair/Inventaris</v>
          </cell>
          <cell r="E161">
            <v>0</v>
          </cell>
        </row>
        <row r="162">
          <cell r="C162" t="str">
            <v>Utang Usaha</v>
          </cell>
          <cell r="E162">
            <v>2520000</v>
          </cell>
        </row>
        <row r="163">
          <cell r="C163" t="str">
            <v>Penyertaan Modal Desa</v>
          </cell>
          <cell r="E163">
            <v>25000000</v>
          </cell>
        </row>
        <row r="164">
          <cell r="C164" t="str">
            <v>Penyertaan Modal Masyarakat</v>
          </cell>
          <cell r="E164">
            <v>8500000</v>
          </cell>
        </row>
        <row r="165">
          <cell r="C165" t="str">
            <v>Bagi Hasil untuk Masyarakat</v>
          </cell>
          <cell r="E165">
            <v>0</v>
          </cell>
        </row>
        <row r="166">
          <cell r="C166" t="str">
            <v>Pendapatan Penjualan Barang Dagangan</v>
          </cell>
          <cell r="E166">
            <v>1510000</v>
          </cell>
        </row>
        <row r="167">
          <cell r="C167" t="str">
            <v>Pendapatan Lain-lain Non-Operasional</v>
          </cell>
          <cell r="E167">
            <v>0</v>
          </cell>
        </row>
        <row r="168">
          <cell r="C168" t="str">
            <v>HPP Barang Dagangan</v>
          </cell>
          <cell r="E168">
            <v>0</v>
          </cell>
        </row>
        <row r="169">
          <cell r="C169" t="str">
            <v>Beban Produksi Langsung</v>
          </cell>
          <cell r="E169">
            <v>0</v>
          </cell>
        </row>
        <row r="170">
          <cell r="C170" t="str">
            <v>Beban Operasional</v>
          </cell>
          <cell r="E170">
            <v>400000</v>
          </cell>
        </row>
        <row r="171">
          <cell r="C171" t="str">
            <v>Beban Operasional Minimarket Desa Mart</v>
          </cell>
          <cell r="E171">
            <v>0</v>
          </cell>
        </row>
        <row r="172">
          <cell r="C172" t="str">
            <v>Beban Pegawai</v>
          </cell>
          <cell r="E172">
            <v>0</v>
          </cell>
        </row>
        <row r="173">
          <cell r="C173" t="str">
            <v>Rugi Penjualan Aset Tetap</v>
          </cell>
          <cell r="E173">
            <v>0</v>
          </cell>
        </row>
        <row r="177">
          <cell r="E177">
            <v>91591000</v>
          </cell>
        </row>
        <row r="180">
          <cell r="C180" t="str">
            <v>Nama Akun</v>
          </cell>
          <cell r="E180" t="str">
            <v>Kredit</v>
          </cell>
        </row>
        <row r="181">
          <cell r="C181" t="str">
            <v>Kas</v>
          </cell>
          <cell r="E181">
            <v>4000000</v>
          </cell>
        </row>
        <row r="182">
          <cell r="C182" t="str">
            <v>Bank BRI</v>
          </cell>
          <cell r="E182">
            <v>23910000</v>
          </cell>
        </row>
        <row r="183">
          <cell r="C183" t="str">
            <v>Bank Jatim</v>
          </cell>
          <cell r="E183">
            <v>3000000</v>
          </cell>
        </row>
        <row r="184">
          <cell r="C184" t="str">
            <v>Perlengkapan</v>
          </cell>
          <cell r="E184">
            <v>0</v>
          </cell>
        </row>
        <row r="185">
          <cell r="C185" t="str">
            <v>Peralatan dan Mesin</v>
          </cell>
          <cell r="E185">
            <v>11600000</v>
          </cell>
        </row>
        <row r="186">
          <cell r="C186" t="str">
            <v>Akumulasi Penyusutan Peralatan dan Mesin</v>
          </cell>
          <cell r="E186">
            <v>0</v>
          </cell>
        </row>
        <row r="187">
          <cell r="C187" t="str">
            <v>Investasi Jangka Panjang</v>
          </cell>
          <cell r="E187">
            <v>0</v>
          </cell>
        </row>
        <row r="188">
          <cell r="C188" t="str">
            <v>Utang Bank Jangka Panjang</v>
          </cell>
          <cell r="E188">
            <v>20000000</v>
          </cell>
        </row>
        <row r="189">
          <cell r="C189" t="str">
            <v>Penyertaan Modal Desa</v>
          </cell>
          <cell r="E189">
            <v>17500000</v>
          </cell>
        </row>
        <row r="190">
          <cell r="C190" t="str">
            <v>Bagi Hasil untuk Desa</v>
          </cell>
          <cell r="E190">
            <v>0</v>
          </cell>
        </row>
        <row r="191">
          <cell r="C191" t="str">
            <v>Pendapatan Jasa</v>
          </cell>
          <cell r="E191">
            <v>1800000</v>
          </cell>
        </row>
        <row r="192">
          <cell r="C192" t="str">
            <v>Laba Penjualan Aset Tetap</v>
          </cell>
          <cell r="E192">
            <v>2553334</v>
          </cell>
        </row>
        <row r="193">
          <cell r="C193" t="str">
            <v>Beban Produksi Langsung</v>
          </cell>
          <cell r="E193">
            <v>0</v>
          </cell>
        </row>
        <row r="194">
          <cell r="C194" t="str">
            <v>Beban Operasional</v>
          </cell>
          <cell r="E194">
            <v>250000</v>
          </cell>
        </row>
        <row r="195">
          <cell r="C195" t="str">
            <v>Beban Operasional Layanan Jasa Desa Prima</v>
          </cell>
          <cell r="E195">
            <v>0</v>
          </cell>
        </row>
        <row r="196">
          <cell r="C196" t="str">
            <v>Beban Pegawai</v>
          </cell>
          <cell r="E196">
            <v>0</v>
          </cell>
        </row>
        <row r="197">
          <cell r="C197" t="str">
            <v>Beban Pemeliharaan dan Perbaikan</v>
          </cell>
          <cell r="E197">
            <v>0</v>
          </cell>
        </row>
        <row r="203">
          <cell r="E203">
            <v>84613334</v>
          </cell>
        </row>
        <row r="211">
          <cell r="C211" t="str">
            <v>Penjelasan</v>
          </cell>
        </row>
        <row r="212">
          <cell r="C212" t="str">
            <v>Mencatat dampak keuangan dari setiap transaksi ke dalam akun debit dan akun kredit.</v>
          </cell>
        </row>
        <row r="213">
          <cell r="C213" t="str">
            <v>Jurnal terbentuk otomatis dari input transaksi berdasarkan mapping transaksi.</v>
          </cell>
        </row>
        <row r="214">
          <cell r="C214" t="str">
            <v>Jurnal menjadi dasar pembentukan buku besar, history akun, buku pembantu, kartu persediaan, kartu aset tetap, dan laporan keuangan.</v>
          </cell>
        </row>
        <row r="215">
          <cell r="C215" t="str">
            <v>Menggunakan prinsip double entry system, yaitu setiap transaksi minimal memiliki akun debit dan akun kredit.</v>
          </cell>
        </row>
        <row r="216">
          <cell r="C216" t="str">
            <v>Total debit harus sama dengan total kredit.</v>
          </cell>
        </row>
        <row r="217">
          <cell r="C217" t="str">
            <v>Sistem harus menolak transaksi atau memberi peringatan bahwa jurnal belum seimbang.</v>
          </cell>
        </row>
        <row r="221">
          <cell r="C221" t="str">
            <v>Penjelasan</v>
          </cell>
        </row>
        <row r="222">
          <cell r="C222" t="str">
            <v>Tanggal transaksi menunjukkan kapan aktivitas ekonomi terjadi.</v>
          </cell>
        </row>
        <row r="223">
          <cell r="C223" t="str">
            <v>Nomor referensi dibuat berdasarkan jenis transaksi, tanggal, unit usaha, dan nomor urut.</v>
          </cell>
        </row>
        <row r="224">
          <cell r="C224" t="str">
            <v>Debit dan kredit menunjukkan akun yang bertambah atau berkurang sesuai saldo normal akun.</v>
          </cell>
        </row>
        <row r="225">
          <cell r="C225" t="str">
            <v>Ini adalah prinsip dasar double entry system.</v>
          </cell>
        </row>
        <row r="226">
          <cell r="C226" t="str">
            <v>User dan sistem tidak boleh menggunakan akun di luar daftar CoA revisi.</v>
          </cell>
        </row>
        <row r="227">
          <cell r="C227" t="str">
            <v>Akun header atau akun kelompok tidak boleh digunakan untuk jurnal.</v>
          </cell>
        </row>
        <row r="228">
          <cell r="C228" t="str">
            <v>Sistem membaca jenis transaksi dari deskripsi mapping.</v>
          </cell>
        </row>
        <row r="229">
          <cell r="C229" t="str">
            <v>Transaksi bernilai 0 hanya boleh untuk aktivitas non-jurnal seperti update kuantitas panen telur atau koreksi yang belum memiliki nilai.</v>
          </cell>
        </row>
        <row r="230">
          <cell r="C230" t="str">
            <v>Sumber mapping menunjukkan apakah transaksi berasal dari Rutin, Non Rutin, Lainnya, atau Jurnal Penyesuaian.</v>
          </cell>
        </row>
        <row r="231">
          <cell r="C231" t="str">
            <v>Posting berarti jurnal diteruskan ke buku besar, buku pembantu, kartu persediaan, kartu aset, dan laporan.</v>
          </cell>
        </row>
        <row r="234">
          <cell r="C234" t="str">
            <v>Fungsi untuk Sistem</v>
          </cell>
        </row>
        <row r="235">
          <cell r="C235" t="str">
            <v>Menentukan periode pencatatan dan urutan jurnal.</v>
          </cell>
        </row>
        <row r="236">
          <cell r="C236" t="str">
            <v>Menjadi identitas unik transaksi dan menghubungkan input transaksi dengan jurnal dan buku pembantu.</v>
          </cell>
        </row>
        <row r="237">
          <cell r="C237" t="str">
            <v>Memisahkan laporan per unit usaha.</v>
          </cell>
        </row>
        <row r="238">
          <cell r="C238" t="str">
            <v>Menjadi kunci sistem untuk membaca debit-kredit otomatis.</v>
          </cell>
        </row>
        <row r="239">
          <cell r="C239" t="str">
            <v>Membantu user dan auditor memahami isi transaksi.</v>
          </cell>
        </row>
        <row r="240">
          <cell r="C240" t="str">
            <v>Menentukan akun yang bertambah/berkurang di sisi debit.</v>
          </cell>
        </row>
        <row r="241">
          <cell r="C241" t="str">
            <v>Digunakan untuk validasi keseimbangan jurnal.</v>
          </cell>
        </row>
        <row r="242">
          <cell r="C242" t="str">
            <v>Menentukan akun yang bertambah/berkurang di sisi kredit.</v>
          </cell>
        </row>
        <row r="243">
          <cell r="C243" t="str">
            <v>Digunakan untuk validasi keseimbangan jurnal.</v>
          </cell>
        </row>
        <row r="244">
          <cell r="C244" t="str">
            <v>Menentukan aturan lanjutan ke buku pembantu/kartu pembantu.</v>
          </cell>
        </row>
        <row r="245">
          <cell r="C245" t="str">
            <v>Jika “Ya”, sistem memperbarui Kartu Aset Tetap.</v>
          </cell>
        </row>
        <row r="246">
          <cell r="C246" t="str">
            <v>Jika “Ya”, sistem memperbarui Kartu Persediaan.</v>
          </cell>
        </row>
        <row r="247">
          <cell r="C247" t="str">
            <v>Hanya untuk transaksi rutin supplier.</v>
          </cell>
        </row>
        <row r="248">
          <cell r="C248" t="str">
            <v>Hanya untuk transaksi rutin pelanggan.</v>
          </cell>
        </row>
        <row r="249">
          <cell r="C249" t="str">
            <v>Membantu sistem memisahkan transaksi operasional dan jurnal penyesuaian.</v>
          </cell>
        </row>
        <row r="250">
          <cell r="C250" t="str">
            <v>Jika sudah posted, jurnal tidak boleh diubah sembarangan.</v>
          </cell>
        </row>
        <row r="253">
          <cell r="C253" t="str">
            <v>Ketentuan</v>
          </cell>
        </row>
        <row r="254">
          <cell r="C254" t="str">
            <v>Menjadi nomor bukti unik untuk setiap transaksi/jurnal.</v>
          </cell>
        </row>
        <row r="255">
          <cell r="C255" t="str">
            <v>Sistem secara otomatis.</v>
          </cell>
        </row>
        <row r="256">
          <cell r="C256" t="str">
            <v>User tidak boleh mengubah nomor referensi agar tidak terjadi duplikasi.</v>
          </cell>
        </row>
        <row r="257">
          <cell r="C257" t="str">
            <v>Saat transaksi berhasil divalidasi dan disimpan.</v>
          </cell>
        </row>
        <row r="258">
          <cell r="C258" t="str">
            <v>JURNAL-[Kode Unit]-[Tanggal]-[Nomor Urut]</v>
          </cell>
        </row>
        <row r="259">
          <cell r="C259" t="str">
            <v>JURNAL-PT-20260101-001</v>
          </cell>
        </row>
        <row r="260">
          <cell r="C260" t="str">
            <v>JURNAL-MM-20260105-001</v>
          </cell>
        </row>
        <row r="261">
          <cell r="C261" t="str">
            <v>JURNAL-JS-20260121-001</v>
          </cell>
        </row>
        <row r="264">
          <cell r="C264" t="str">
            <v>Ketentuan</v>
          </cell>
        </row>
        <row r="265">
          <cell r="C265" t="str">
            <v>Setiap transaksi harus memiliki sisi debit dan sisi kredit.</v>
          </cell>
        </row>
        <row r="266">
          <cell r="C266" t="str">
            <v>Minimal 1 akun debit dan 1 akun kredit.</v>
          </cell>
        </row>
        <row r="267">
          <cell r="C267" t="str">
            <v>Ya, misalnya penjualan aset tetap dapat memiliki beberapa debit dan kredit.</v>
          </cell>
        </row>
        <row r="268">
          <cell r="C268" t="str">
            <v>Total debit = total kredit.</v>
          </cell>
        </row>
        <row r="269">
          <cell r="C269" t="str">
            <v>Sistem menolak posting jurnal.</v>
          </cell>
        </row>
        <row r="270">
          <cell r="C270" t="str">
            <v>“Jurnal belum seimbang. Total debit dan kredit harus sama.”</v>
          </cell>
        </row>
        <row r="273">
          <cell r="C273" t="str">
            <v>Ketentuan Sistem</v>
          </cell>
        </row>
        <row r="274">
          <cell r="C274" t="str">
            <v>Tidak boleh kosong dan harus berada dalam periode yang dibuka.</v>
          </cell>
        </row>
        <row r="275">
          <cell r="C275" t="str">
            <v>Dibuat otomatis dan harus unik.</v>
          </cell>
        </row>
        <row r="276">
          <cell r="C276" t="str">
            <v>Harus ada dalam mapping transaksi.</v>
          </cell>
        </row>
        <row r="277">
          <cell r="C277" t="str">
            <v>Harus ada dalam CoA dan merupakan akun detail.</v>
          </cell>
        </row>
        <row r="278">
          <cell r="C278" t="str">
            <v>Harus ada dalam CoA dan merupakan akun detail.</v>
          </cell>
        </row>
        <row r="279">
          <cell r="C279" t="str">
            <v>Tidak boleh negatif.</v>
          </cell>
        </row>
        <row r="280">
          <cell r="C280" t="str">
            <v>Tidak boleh negatif.</v>
          </cell>
        </row>
        <row r="281">
          <cell r="C281" t="str">
            <v>Total debit harus sama dengan total kredit.</v>
          </cell>
        </row>
        <row r="282">
          <cell r="C282" t="str">
            <v>Harus sesuai master data unit usaha.</v>
          </cell>
        </row>
        <row r="283">
          <cell r="C283" t="str">
            <v>Jika transaksi memakai supplier/pelanggan, pihak harus ada di master data.</v>
          </cell>
        </row>
        <row r="284">
          <cell r="C284" t="str">
            <v>Jika transaksi memakai persediaan, barang harus ada di master data persediaan.</v>
          </cell>
        </row>
        <row r="285">
          <cell r="C285" t="str">
            <v>Jika transaksi aset, aset harus ada di Kartu Aset Tetap atau dibuat sebagai aset baru.</v>
          </cell>
        </row>
        <row r="286">
          <cell r="C286" t="str">
            <v>Harus terisi: Rutin, Non Rutin, Lainnya, atau Jurnal Penyesuaian.</v>
          </cell>
        </row>
        <row r="287">
          <cell r="C287" t="str">
            <v>Jika penanda Bk Utang/Piutang/Persediaan/Aset Tetap = Ya, sistem harus memperbarui kartu/buku terkait.</v>
          </cell>
        </row>
        <row r="291">
          <cell r="C291" t="str">
            <v>Sistem Melakukan</v>
          </cell>
        </row>
        <row r="292">
          <cell r="C292" t="str">
            <v>Setiap akun debit dan kredit ditambahkan ke history akun.</v>
          </cell>
        </row>
        <row r="293">
          <cell r="C293" t="str">
            <v>Saldo akun bertambah/berkurang sesuai saldo normal.</v>
          </cell>
        </row>
        <row r="294">
          <cell r="C294" t="str">
            <v>Hanya jika transaksi rutin terkait supplier dan penanda Bk Utang = Ya.</v>
          </cell>
        </row>
        <row r="295">
          <cell r="C295" t="str">
            <v>Hanya jika transaksi rutin terkait pelanggan dan penanda Bk Piutang = Ya.</v>
          </cell>
        </row>
        <row r="296">
          <cell r="C296" t="str">
            <v>Jika transaksi terkait persediaan dan penanda Persediaan = Ya.</v>
          </cell>
        </row>
        <row r="297">
          <cell r="C297" t="str">
            <v>Jika transaksi terkait aset tetap dan penanda Aset Tetap = Ya.</v>
          </cell>
        </row>
        <row r="298">
          <cell r="C298" t="str">
            <v>Laporan laba rugi, perubahan modal, posisi keuangan, dan arus kas mengambil data dari jurnal yang sudah posted.</v>
          </cell>
        </row>
        <row r="301">
          <cell r="C301" t="str">
            <v>Pesan Sistem</v>
          </cell>
        </row>
        <row r="302">
          <cell r="C302" t="str">
            <v>“Tanggal transaksi wajib diisi.”</v>
          </cell>
        </row>
        <row r="303">
          <cell r="C303" t="str">
            <v>“Deskripsi transaksi belum tersedia dalam mapping. Silakan pilih transaksi yang valid.”</v>
          </cell>
        </row>
        <row r="304">
          <cell r="C304" t="str">
            <v>“Akun tidak ditemukan dalam CoA.”</v>
          </cell>
        </row>
        <row r="305">
          <cell r="C305" t="str">
            <v>“Jurnal hanya boleh menggunakan akun detail.”</v>
          </cell>
        </row>
        <row r="306">
          <cell r="C306" t="str">
            <v>“Jurnal belum seimbang. Total debit dan kredit harus sama.”</v>
          </cell>
        </row>
        <row r="307">
          <cell r="C307" t="str">
            <v>“Barang belum terdaftar di master persediaan.”</v>
          </cell>
        </row>
        <row r="308">
          <cell r="C308" t="str">
            <v>“Stok tidak mencukupi. Silakan cek Kartu Persediaan.”</v>
          </cell>
        </row>
        <row r="309">
          <cell r="C309" t="str">
            <v>“Harga jual tidak boleh 0.”</v>
          </cell>
        </row>
        <row r="310">
          <cell r="C310" t="str">
            <v>“Aset belum terdaftar di Kartu Aset Tetap.”</v>
          </cell>
        </row>
        <row r="311">
          <cell r="C311" t="str">
            <v>“Aset sudah tidak aktif dan tidak dapat diproses kembali.”</v>
          </cell>
        </row>
        <row r="312">
          <cell r="C312" t="str">
            <v>“Supplier belum terdaftar di master data.”</v>
          </cell>
        </row>
        <row r="313">
          <cell r="C313" t="str">
            <v>“Pelanggan belum terdaftar di master data.”</v>
          </cell>
        </row>
        <row r="316">
          <cell r="C316" t="str">
            <v>Ketentuan Jurnal</v>
          </cell>
        </row>
        <row r="317">
          <cell r="C317" t="str">
            <v>Membentuk jurnal kas/bank dengan pendapatan atau beban.</v>
          </cell>
        </row>
        <row r="318">
          <cell r="C318" t="str">
            <v>Membentuk jurnal beban/persediaan terhadap utang usaha.</v>
          </cell>
        </row>
        <row r="319">
          <cell r="C319" t="str">
            <v>Membentuk jurnal piutang terhadap pendapatan.</v>
          </cell>
        </row>
        <row r="320">
          <cell r="C320" t="str">
            <v>Membentuk jurnal pendapatan dan jurnal HPP.</v>
          </cell>
        </row>
        <row r="321">
          <cell r="C321" t="str">
            <v>Tidak membentuk jurnal rupiah.</v>
          </cell>
        </row>
        <row r="322">
          <cell r="C322" t="str">
            <v>Debit Persediaan Barang Jadi, Kredit Beban Operasional Peternakan.</v>
          </cell>
        </row>
        <row r="323">
          <cell r="C323" t="str">
            <v>Debit akun aset tetap, kredit kas/bank/utang.</v>
          </cell>
        </row>
        <row r="324">
          <cell r="C324" t="str">
            <v>Menghapus aset, menghapus akumulasi penyusutan, mencatat kas/bank dan laba/rugi.</v>
          </cell>
        </row>
        <row r="325">
          <cell r="C325" t="str">
            <v>Debit Beban Penyusutan, Kredit Akumulasi Penyusutan.</v>
          </cell>
        </row>
        <row r="326">
          <cell r="C326" t="str">
            <v>Debit Biaya Dibayar di Muka, Kredit Beban terkait.</v>
          </cell>
        </row>
        <row r="327">
          <cell r="C327" t="str">
            <v>Debit Beban terkait, Kredit Utang terkait.</v>
          </cell>
        </row>
        <row r="328">
          <cell r="C328" t="str">
            <v>Debit akun yang benar, kredit akun yang sebelumnya salah.</v>
          </cell>
        </row>
        <row r="331">
          <cell r="C331" t="str">
            <v>Ketentuan</v>
          </cell>
        </row>
        <row r="332">
          <cell r="C332" t="str">
            <v>Aset yang dijual, tanggal jual, harga jual, metode penerimaan kas/bank.</v>
          </cell>
        </row>
        <row r="333">
          <cell r="C333" t="str">
            <v>Akumulasi penyusutan, nilai buku, laba/rugi penjualan aset.</v>
          </cell>
        </row>
        <row r="334">
          <cell r="C334" t="str">
            <v>Nilai buku, akumulasi penyusutan, laba/rugi.</v>
          </cell>
        </row>
        <row r="335">
          <cell r="C335" t="str">
            <v>Sistem mencatat 4-2200 Laba Penjualan Aset Tetap.</v>
          </cell>
        </row>
        <row r="336">
          <cell r="C336" t="str">
            <v>Sistem mencatat 5-3400 Rugi Penjualan Aset Tetap.</v>
          </cell>
        </row>
        <row r="337">
          <cell r="C337" t="str">
            <v>Tidak ada laba/rugi.</v>
          </cell>
        </row>
        <row r="338">
          <cell r="C338" t="str">
            <v>Status aset berubah menjadi Dijual dan tanggal status tidak aktif terisi.</v>
          </cell>
        </row>
        <row r="341">
          <cell r="C341" t="str">
            <v>Debit</v>
          </cell>
        </row>
        <row r="342">
          <cell r="C342" t="str">
            <v>Harga jual</v>
          </cell>
        </row>
        <row r="343">
          <cell r="C343" t="str">
            <v>Akumulasi penyusutan sampai sebelum tidak aktif</v>
          </cell>
        </row>
        <row r="344">
          <cell r="C344" t="str">
            <v>-</v>
          </cell>
        </row>
        <row r="345">
          <cell r="C345" t="str">
            <v>-</v>
          </cell>
        </row>
        <row r="348">
          <cell r="C348" t="str">
            <v>Debit</v>
          </cell>
        </row>
        <row r="349">
          <cell r="C349" t="str">
            <v>Harga jual</v>
          </cell>
        </row>
        <row r="350">
          <cell r="C350" t="str">
            <v>Akumulasi penyusutan sampai sebelum tidak aktif</v>
          </cell>
        </row>
        <row r="351">
          <cell r="C351" t="str">
            <v>Selisih rugi</v>
          </cell>
        </row>
        <row r="352">
          <cell r="C352" t="str">
            <v>-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6F05-507A-7147-9949-53927CF2C8CF}">
  <dimension ref="A1:D52"/>
  <sheetViews>
    <sheetView tabSelected="1" workbookViewId="0">
      <selection activeCell="F7" sqref="F7"/>
    </sheetView>
  </sheetViews>
  <sheetFormatPr baseColWidth="10" defaultRowHeight="16" x14ac:dyDescent="0.2"/>
  <cols>
    <col min="3" max="3" width="16" bestFit="1" customWidth="1"/>
  </cols>
  <sheetData>
    <row r="1" spans="1:4" ht="19" x14ac:dyDescent="0.25">
      <c r="A1" s="4" t="s">
        <v>0</v>
      </c>
      <c r="B1" s="1"/>
      <c r="C1" s="1"/>
      <c r="D1" s="1"/>
    </row>
    <row r="2" spans="1:4" x14ac:dyDescent="0.2">
      <c r="A2" s="2"/>
      <c r="B2" s="1"/>
      <c r="C2" s="1"/>
      <c r="D2" s="1"/>
    </row>
    <row r="3" spans="1:4" ht="21" x14ac:dyDescent="0.25">
      <c r="A3" s="5" t="s">
        <v>4</v>
      </c>
      <c r="B3" s="1"/>
      <c r="C3" s="1"/>
      <c r="D3" s="1"/>
    </row>
    <row r="4" spans="1:4" ht="21" x14ac:dyDescent="0.25">
      <c r="A4" s="5" t="s">
        <v>5</v>
      </c>
      <c r="B4" s="1"/>
      <c r="C4" s="1"/>
      <c r="D4" s="1"/>
    </row>
    <row r="5" spans="1:4" x14ac:dyDescent="0.2">
      <c r="A5" s="6" t="s">
        <v>1</v>
      </c>
      <c r="B5" s="1"/>
      <c r="C5" s="1"/>
      <c r="D5" s="1"/>
    </row>
    <row r="6" spans="1:4" ht="17" thickBot="1" x14ac:dyDescent="0.25">
      <c r="A6" s="7"/>
      <c r="B6" s="7"/>
      <c r="C6" s="7"/>
      <c r="D6" s="3"/>
    </row>
    <row r="7" spans="1:4" ht="35" thickBot="1" x14ac:dyDescent="0.25">
      <c r="A7" s="8" t="s">
        <v>2</v>
      </c>
      <c r="B7" s="9" t="s">
        <v>3</v>
      </c>
      <c r="C7" s="9">
        <v>2026</v>
      </c>
      <c r="D7" s="3"/>
    </row>
    <row r="8" spans="1:4" ht="18" thickBot="1" x14ac:dyDescent="0.25">
      <c r="A8" s="10">
        <v>1</v>
      </c>
      <c r="B8" s="11">
        <v>2</v>
      </c>
      <c r="C8" s="11" t="s">
        <v>6</v>
      </c>
      <c r="D8" s="3"/>
    </row>
    <row r="9" spans="1:4" ht="69" thickBot="1" x14ac:dyDescent="0.25">
      <c r="A9" s="12">
        <v>1</v>
      </c>
      <c r="B9" s="13" t="s">
        <v>7</v>
      </c>
      <c r="C9" s="14"/>
      <c r="D9" s="3"/>
    </row>
    <row r="10" spans="1:4" ht="35" thickBot="1" x14ac:dyDescent="0.25">
      <c r="A10" s="12">
        <v>2</v>
      </c>
      <c r="B10" s="15" t="s">
        <v>8</v>
      </c>
      <c r="C10" s="14"/>
      <c r="D10" s="3"/>
    </row>
    <row r="11" spans="1:4" ht="69" thickBot="1" x14ac:dyDescent="0.25">
      <c r="A11" s="12">
        <v>3</v>
      </c>
      <c r="B11" s="16" t="s">
        <v>9</v>
      </c>
      <c r="C11" s="17">
        <f>SUMIFS([1]Jurnal!$F:$F,[1]Jurnal!$E:$E,"*Kas*",[1]Jurnal!$G:$G,"*Pendapatan Jasa*")+SUMIFS([1]Jurnal!$F:$F,[1]Jurnal!$E:$E,"*Bank*",[1]Jurnal!$G:$G,"*Pendapatan Jasa*")</f>
        <v>1800000</v>
      </c>
      <c r="D11" s="3"/>
    </row>
    <row r="12" spans="1:4" ht="86" thickBot="1" x14ac:dyDescent="0.25">
      <c r="A12" s="12">
        <v>4</v>
      </c>
      <c r="B12" s="16" t="s">
        <v>10</v>
      </c>
      <c r="C12" s="17">
        <f>SUMIFS([1]Jurnal!$F:$F,[1]Jurnal!$E:$E,"*Kas*",[1]Jurnal!$G:$G,"*Pendapatan Penjualan Barang Dagangan*")+SUMIFS([1]Jurnal!$F:$F,[1]Jurnal!$E:$E,"*Bank*",[1]Jurnal!$G:$G,"*Pendapatan Penjualan Barang Dagangan*")</f>
        <v>1510000</v>
      </c>
      <c r="D12" s="3"/>
    </row>
    <row r="13" spans="1:4" ht="86" thickBot="1" x14ac:dyDescent="0.25">
      <c r="A13" s="12">
        <v>5</v>
      </c>
      <c r="B13" s="16" t="s">
        <v>11</v>
      </c>
      <c r="C13" s="17">
        <f>SUMIFS([1]Jurnal!$F:$F,[1]Jurnal!$E:$E,"*Kas*",[1]Jurnal!$G:$G,"*Pendapatan Penjualan Hasil Produksi*")+SUMIFS([1]Jurnal!$F:$F,[1]Jurnal!$E:$E,"*Bank*",[1]Jurnal!$G:$G,"*Pendapatan Penjualan Hasil Produksi*")</f>
        <v>9900000</v>
      </c>
      <c r="D13" s="3"/>
    </row>
    <row r="14" spans="1:4" ht="69" thickBot="1" x14ac:dyDescent="0.25">
      <c r="A14" s="12">
        <v>6</v>
      </c>
      <c r="B14" s="16" t="s">
        <v>12</v>
      </c>
      <c r="C14" s="17">
        <f>0</f>
        <v>0</v>
      </c>
      <c r="D14" s="3"/>
    </row>
    <row r="15" spans="1:4" ht="69" thickBot="1" x14ac:dyDescent="0.25">
      <c r="A15" s="12">
        <v>7</v>
      </c>
      <c r="B15" s="16" t="s">
        <v>13</v>
      </c>
      <c r="C15" s="17">
        <f>SUMIFS([1]Jurnal!$F:$F,[1]Jurnal!$E:$E,"*Kas*",[1]Jurnal!$G:$G,"*Pendapatan Bunga Bank*")+SUMIFS([1]Jurnal!$F:$F,[1]Jurnal!$E:$E,"*Bank*",[1]Jurnal!$G:$G,"*Pendapatan Bunga Bank*")</f>
        <v>0</v>
      </c>
      <c r="D15" s="3"/>
    </row>
    <row r="16" spans="1:4" ht="103" thickBot="1" x14ac:dyDescent="0.25">
      <c r="A16" s="12">
        <v>8</v>
      </c>
      <c r="B16" s="18" t="s">
        <v>14</v>
      </c>
      <c r="C16" s="19">
        <f>SUM(C11:C15)</f>
        <v>13210000</v>
      </c>
      <c r="D16" s="3"/>
    </row>
    <row r="17" spans="1:4" ht="35" thickBot="1" x14ac:dyDescent="0.25">
      <c r="A17" s="12">
        <v>9</v>
      </c>
      <c r="B17" s="15" t="s">
        <v>15</v>
      </c>
      <c r="C17" s="14"/>
      <c r="D17" s="3"/>
    </row>
    <row r="18" spans="1:4" ht="120" thickBot="1" x14ac:dyDescent="0.25">
      <c r="A18" s="12">
        <v>10</v>
      </c>
      <c r="B18" s="16" t="s">
        <v>16</v>
      </c>
      <c r="C18" s="17">
        <f>SUMIFS([1]Jurnal!$F:$F,[1]Jurnal!$G:$G,"*Kas*",[1]Jurnal!$E:$E,"*Utang Usaha*")+SUMIFS([1]Jurnal!$F:$F,[1]Jurnal!$G:$G,"*Bank*",[1]Jurnal!$E:$E,"*Utang Usaha*")+SUMIFS([1]Jurnal!$F:$F,[1]Jurnal!$G:$G,"*Kas*",[1]Jurnal!$E:$E,"*Persediaan*")+SUMIFS([1]Jurnal!$F:$F,[1]Jurnal!$G:$G,"*Bank*",[1]Jurnal!$E:$E,"*Persediaan*")</f>
        <v>7060000</v>
      </c>
      <c r="D18" s="3"/>
    </row>
    <row r="19" spans="1:4" ht="137" thickBot="1" x14ac:dyDescent="0.25">
      <c r="A19" s="12">
        <v>11</v>
      </c>
      <c r="B19" s="16" t="s">
        <v>17</v>
      </c>
      <c r="C19" s="17">
        <f>SUMIFS([1]Jurnal!$F:$F,[1]Jurnal!$G:$G,"*Kas*",[1]Jurnal!$E:$E,"*Beban Pegawai*")+SUMIFS([1]Jurnal!$F:$F,[1]Jurnal!$G:$G,"*Bank*",[1]Jurnal!$E:$E,"*Beban Pegawai*")</f>
        <v>6400000</v>
      </c>
      <c r="D19" s="3"/>
    </row>
    <row r="20" spans="1:4" ht="86" thickBot="1" x14ac:dyDescent="0.25">
      <c r="A20" s="12">
        <v>12</v>
      </c>
      <c r="B20" s="16" t="s">
        <v>18</v>
      </c>
      <c r="C20" s="17">
        <f>SUMIFS([1]Jurnal!$F:$F,[1]Jurnal!$G:$G,"*Kas*",[1]Jurnal!$E:$E,"*Beban Pajak*")+SUMIFS([1]Jurnal!$F:$F,[1]Jurnal!$G:$G,"*Bank*",[1]Jurnal!$E:$E,"*Beban Pajak*")</f>
        <v>500000</v>
      </c>
      <c r="D20" s="3"/>
    </row>
    <row r="21" spans="1:4" ht="86" thickBot="1" x14ac:dyDescent="0.25">
      <c r="A21" s="12">
        <v>13</v>
      </c>
      <c r="B21" s="16" t="s">
        <v>19</v>
      </c>
      <c r="C21" s="17">
        <f>SUMIFS([1]Jurnal!$F:$F,[1]Jurnal!$G:$G,"*Kas*",[1]Jurnal!$E:$E,"*Beban Bunga*")+SUMIFS([1]Jurnal!$F:$F,[1]Jurnal!$G:$G,"*Bank*",[1]Jurnal!$E:$E,"*Beban Bunga*")</f>
        <v>0</v>
      </c>
      <c r="D21" s="3"/>
    </row>
    <row r="22" spans="1:4" ht="120" thickBot="1" x14ac:dyDescent="0.25">
      <c r="A22" s="12">
        <v>14</v>
      </c>
      <c r="B22" s="16" t="s">
        <v>20</v>
      </c>
      <c r="C22" s="17">
        <f>(SUMIFS([1]Jurnal!$F:$F,[1]Jurnal!$G:$G,"*Kas*",[1]Jurnal!$E:$E,"5-*")+SUMIFS([1]Jurnal!$F:$F,[1]Jurnal!$G:$G,"*Bank*",[1]Jurnal!$E:$E,"5-*"))-C19-C20-C21</f>
        <v>13175000</v>
      </c>
      <c r="D22" s="3"/>
    </row>
    <row r="23" spans="1:4" ht="103" thickBot="1" x14ac:dyDescent="0.25">
      <c r="A23" s="12">
        <v>15</v>
      </c>
      <c r="B23" s="18" t="s">
        <v>21</v>
      </c>
      <c r="C23" s="19">
        <f>SUM(C18:C22)</f>
        <v>27135000</v>
      </c>
      <c r="D23" s="3"/>
    </row>
    <row r="24" spans="1:4" ht="86" thickBot="1" x14ac:dyDescent="0.25">
      <c r="A24" s="12">
        <v>16</v>
      </c>
      <c r="B24" s="20" t="s">
        <v>22</v>
      </c>
      <c r="C24" s="19">
        <f>C16-C23</f>
        <v>-13925000</v>
      </c>
      <c r="D24" s="3"/>
    </row>
    <row r="25" spans="1:4" ht="17" thickBot="1" x14ac:dyDescent="0.25">
      <c r="A25" s="12">
        <v>17</v>
      </c>
      <c r="B25" s="21"/>
      <c r="C25" s="14"/>
      <c r="D25" s="3"/>
    </row>
    <row r="26" spans="1:4" ht="103" thickBot="1" x14ac:dyDescent="0.25">
      <c r="A26" s="12">
        <v>18</v>
      </c>
      <c r="B26" s="13" t="s">
        <v>23</v>
      </c>
      <c r="C26" s="14"/>
      <c r="D26" s="3"/>
    </row>
    <row r="27" spans="1:4" ht="35" thickBot="1" x14ac:dyDescent="0.25">
      <c r="A27" s="12">
        <v>19</v>
      </c>
      <c r="B27" s="15" t="s">
        <v>8</v>
      </c>
      <c r="C27" s="14"/>
      <c r="D27" s="3"/>
    </row>
    <row r="28" spans="1:4" ht="69" thickBot="1" x14ac:dyDescent="0.25">
      <c r="A28" s="12">
        <v>20</v>
      </c>
      <c r="B28" s="16" t="s">
        <v>24</v>
      </c>
      <c r="C28" s="17">
        <f>SUMIFS([1]Jurnal!$F:$F,[1]Jurnal!$E:$E,"*Kas*",[1]Jurnal!$G:$G,"1-20*",[1]Jurnal!$C:$C,"*Jual*")+SUMIFS([1]Jurnal!$F:$F,[1]Jurnal!$E:$E,"*Bank*",[1]Jurnal!$G:$G,"1-20*",[1]Jurnal!$C:$C,"*Jual*")</f>
        <v>36350000</v>
      </c>
      <c r="D28" s="3"/>
    </row>
    <row r="29" spans="1:4" ht="52" thickBot="1" x14ac:dyDescent="0.25">
      <c r="A29" s="12">
        <v>21</v>
      </c>
      <c r="B29" s="16" t="s">
        <v>25</v>
      </c>
      <c r="C29" s="17">
        <f>SUMIFS([1]Jurnal!$F:$F,[1]Jurnal!$E:$E,"*Kas*",[1]Jurnal!$G:$G,"*Investasi*")+SUMIFS([1]Jurnal!$F:$F,[1]Jurnal!$E:$E,"*Bank*",[1]Jurnal!$G:$G,"*Investasi*")</f>
        <v>0</v>
      </c>
      <c r="D29" s="3"/>
    </row>
    <row r="30" spans="1:4" ht="103" thickBot="1" x14ac:dyDescent="0.25">
      <c r="A30" s="12">
        <v>22</v>
      </c>
      <c r="B30" s="18" t="s">
        <v>26</v>
      </c>
      <c r="C30" s="19">
        <f>SUM(C28:C29)</f>
        <v>36350000</v>
      </c>
      <c r="D30" s="3"/>
    </row>
    <row r="31" spans="1:4" ht="35" thickBot="1" x14ac:dyDescent="0.25">
      <c r="A31" s="12">
        <v>23</v>
      </c>
      <c r="B31" s="15" t="s">
        <v>15</v>
      </c>
      <c r="C31" s="14"/>
      <c r="D31" s="3"/>
    </row>
    <row r="32" spans="1:4" ht="86" thickBot="1" x14ac:dyDescent="0.25">
      <c r="A32" s="12">
        <v>24</v>
      </c>
      <c r="B32" s="16" t="s">
        <v>27</v>
      </c>
      <c r="C32" s="17">
        <f>SUMIFS([1]Jurnal!$F:$F,[1]Jurnal!$G:$G,"*Kas*",[1]Jurnal!$E:$E,"1-20*")+SUMIFS([1]Jurnal!$F:$F,[1]Jurnal!$G:$G,"*Bank*",[1]Jurnal!$E:$E,"1-20*")</f>
        <v>65200000</v>
      </c>
      <c r="D32" s="3"/>
    </row>
    <row r="33" spans="1:4" ht="69" thickBot="1" x14ac:dyDescent="0.25">
      <c r="A33" s="12">
        <v>25</v>
      </c>
      <c r="B33" s="16" t="s">
        <v>28</v>
      </c>
      <c r="C33" s="17">
        <f>SUMIFS([1]Jurnal!$F:$F,[1]Jurnal!$G:$G,"*Kas*",[1]Jurnal!$E:$E,"*Investasi*")+SUMIFS([1]Jurnal!$F:$F,[1]Jurnal!$G:$G,"*Bank*",[1]Jurnal!$E:$E,"*Investasi*")</f>
        <v>8000000</v>
      </c>
      <c r="D33" s="3"/>
    </row>
    <row r="34" spans="1:4" ht="103" thickBot="1" x14ac:dyDescent="0.25">
      <c r="A34" s="12">
        <v>26</v>
      </c>
      <c r="B34" s="18" t="s">
        <v>29</v>
      </c>
      <c r="C34" s="19">
        <f>SUM(C32:C33)</f>
        <v>73200000</v>
      </c>
      <c r="D34" s="3"/>
    </row>
    <row r="35" spans="1:4" ht="86" thickBot="1" x14ac:dyDescent="0.25">
      <c r="A35" s="12">
        <v>27</v>
      </c>
      <c r="B35" s="20" t="s">
        <v>30</v>
      </c>
      <c r="C35" s="19">
        <f>C30-C34</f>
        <v>-36850000</v>
      </c>
      <c r="D35" s="3"/>
    </row>
    <row r="36" spans="1:4" ht="17" thickBot="1" x14ac:dyDescent="0.25">
      <c r="A36" s="12">
        <v>28</v>
      </c>
      <c r="B36" s="21"/>
      <c r="C36" s="14"/>
      <c r="D36" s="3"/>
    </row>
    <row r="37" spans="1:4" ht="103" thickBot="1" x14ac:dyDescent="0.25">
      <c r="A37" s="12">
        <v>29</v>
      </c>
      <c r="B37" s="13" t="s">
        <v>31</v>
      </c>
      <c r="C37" s="14"/>
      <c r="D37" s="3"/>
    </row>
    <row r="38" spans="1:4" ht="35" thickBot="1" x14ac:dyDescent="0.25">
      <c r="A38" s="12">
        <v>30</v>
      </c>
      <c r="B38" s="15" t="s">
        <v>8</v>
      </c>
      <c r="C38" s="14"/>
      <c r="D38" s="3"/>
    </row>
    <row r="39" spans="1:4" ht="86" thickBot="1" x14ac:dyDescent="0.25">
      <c r="A39" s="12">
        <v>31</v>
      </c>
      <c r="B39" s="16" t="s">
        <v>32</v>
      </c>
      <c r="C39" s="17">
        <f>SUMIFS([1]Jurnal!$F:$F,[1]Jurnal!$E:$E,"*Kas*",[1]Jurnal!$G:$G,"*Penyertaan Modal Desa*")+SUMIFS([1]Jurnal!$F:$F,[1]Jurnal!$E:$E,"*Bank*",[1]Jurnal!$G:$G,"*Penyertaan Modal Desa*")</f>
        <v>57500000</v>
      </c>
      <c r="D39" s="3"/>
    </row>
    <row r="40" spans="1:4" ht="103" thickBot="1" x14ac:dyDescent="0.25">
      <c r="A40" s="12">
        <v>32</v>
      </c>
      <c r="B40" s="16" t="s">
        <v>33</v>
      </c>
      <c r="C40" s="17">
        <f>SUMIFS([1]Jurnal!$F:$F,[1]Jurnal!$E:$E,"*Kas*",[1]Jurnal!$G:$G,"*Penyertaan Modal Masyarakat*")+SUMIFS([1]Jurnal!$F:$F,[1]Jurnal!$E:$E,"*Bank*",[1]Jurnal!$G:$G,"*Penyertaan Modal Masyarakat*")</f>
        <v>8500000</v>
      </c>
      <c r="D40" s="3"/>
    </row>
    <row r="41" spans="1:4" ht="86" thickBot="1" x14ac:dyDescent="0.25">
      <c r="A41" s="12">
        <v>33</v>
      </c>
      <c r="B41" s="16" t="s">
        <v>34</v>
      </c>
      <c r="C41" s="17">
        <f>SUMIFS([1]Jurnal!$F:$F,[1]Jurnal!$E:$E,"*Kas*",[1]Jurnal!$G:$G,"*Utang Jangka Panjang*")+SUMIFS([1]Jurnal!$F:$F,[1]Jurnal!$E:$E,"*Bank*",[1]Jurnal!$G:$G,"*Utang Jangka Panjang*")</f>
        <v>0</v>
      </c>
      <c r="D41" s="3"/>
    </row>
    <row r="42" spans="1:4" ht="120" thickBot="1" x14ac:dyDescent="0.25">
      <c r="A42" s="12">
        <v>34</v>
      </c>
      <c r="B42" s="18" t="s">
        <v>35</v>
      </c>
      <c r="C42" s="19">
        <f>SUM(C39:C41)</f>
        <v>66000000</v>
      </c>
      <c r="D42" s="3"/>
    </row>
    <row r="43" spans="1:4" ht="35" thickBot="1" x14ac:dyDescent="0.25">
      <c r="A43" s="12">
        <v>35</v>
      </c>
      <c r="B43" s="15" t="s">
        <v>15</v>
      </c>
      <c r="C43" s="14"/>
      <c r="D43" s="3"/>
    </row>
    <row r="44" spans="1:4" ht="103" thickBot="1" x14ac:dyDescent="0.25">
      <c r="A44" s="12">
        <v>36</v>
      </c>
      <c r="B44" s="16" t="s">
        <v>36</v>
      </c>
      <c r="C44" s="17">
        <f>SUMIFS([1]Jurnal!$F:$F,[1]Jurnal!$G:$G,"*Kas*",[1]Jurnal!$E:$E,"*Bagi Hasil untuk Desa*")+SUMIFS([1]Jurnal!$F:$F,[1]Jurnal!$G:$G,"*Bank*",[1]Jurnal!$E:$E,"*Bagi Hasil untuk Desa*")</f>
        <v>6000000</v>
      </c>
      <c r="D44" s="3"/>
    </row>
    <row r="45" spans="1:4" ht="120" thickBot="1" x14ac:dyDescent="0.25">
      <c r="A45" s="12">
        <v>37</v>
      </c>
      <c r="B45" s="16" t="s">
        <v>37</v>
      </c>
      <c r="C45" s="17">
        <f>SUMIFS([1]Jurnal!$F:$F,[1]Jurnal!$G:$G,"*Kas*",[1]Jurnal!$E:$E,"*Bagi Hasil untuk Masyarakat*")+SUMIFS([1]Jurnal!$F:$F,[1]Jurnal!$G:$G,"*Bank*",[1]Jurnal!$E:$E,"*Bagi Hasil untuk Masyarakat*")</f>
        <v>1250000</v>
      </c>
      <c r="D45" s="3"/>
    </row>
    <row r="46" spans="1:4" ht="86" thickBot="1" x14ac:dyDescent="0.25">
      <c r="A46" s="12">
        <v>38</v>
      </c>
      <c r="B46" s="16" t="s">
        <v>38</v>
      </c>
      <c r="C46" s="17">
        <f>SUMIFS([1]Jurnal!$F:$F,[1]Jurnal!$G:$G,"*Kas*",[1]Jurnal!$E:$E,"*Utang Jangka Panjang*")+SUMIFS([1]Jurnal!$F:$F,[1]Jurnal!$G:$G,"*Bank*",[1]Jurnal!$E:$E,"*Utang Jangka Panjang*")</f>
        <v>0</v>
      </c>
      <c r="D46" s="3"/>
    </row>
    <row r="47" spans="1:4" ht="120" thickBot="1" x14ac:dyDescent="0.25">
      <c r="A47" s="12">
        <v>39</v>
      </c>
      <c r="B47" s="18" t="s">
        <v>39</v>
      </c>
      <c r="C47" s="19">
        <f>SUM(C44:C46)</f>
        <v>7250000</v>
      </c>
      <c r="D47" s="3"/>
    </row>
    <row r="48" spans="1:4" ht="103" thickBot="1" x14ac:dyDescent="0.25">
      <c r="A48" s="12">
        <v>40</v>
      </c>
      <c r="B48" s="20" t="s">
        <v>40</v>
      </c>
      <c r="C48" s="19">
        <f>C42-C47</f>
        <v>58750000</v>
      </c>
      <c r="D48" s="3"/>
    </row>
    <row r="49" spans="1:4" ht="17" thickBot="1" x14ac:dyDescent="0.25">
      <c r="A49" s="12">
        <v>41</v>
      </c>
      <c r="B49" s="21"/>
      <c r="C49" s="14"/>
      <c r="D49" s="3"/>
    </row>
    <row r="50" spans="1:4" ht="52" thickBot="1" x14ac:dyDescent="0.25">
      <c r="A50" s="12">
        <v>42</v>
      </c>
      <c r="B50" s="22" t="s">
        <v>41</v>
      </c>
      <c r="C50" s="19">
        <f>SUM(C24,C35,C48)</f>
        <v>7975000</v>
      </c>
      <c r="D50" s="3"/>
    </row>
    <row r="51" spans="1:4" ht="52" thickBot="1" x14ac:dyDescent="0.25">
      <c r="A51" s="12">
        <v>43</v>
      </c>
      <c r="B51" s="22" t="s">
        <v>42</v>
      </c>
      <c r="C51" s="19">
        <f>C52-C50</f>
        <v>-7975000</v>
      </c>
      <c r="D51" s="3"/>
    </row>
    <row r="52" spans="1:4" ht="52" thickBot="1" x14ac:dyDescent="0.25">
      <c r="A52" s="12">
        <v>44</v>
      </c>
      <c r="B52" s="22" t="s">
        <v>43</v>
      </c>
      <c r="C52" s="19">
        <f>[1]Neraca!D6</f>
        <v>0</v>
      </c>
      <c r="D52" s="3" t="s">
        <v>44</v>
      </c>
    </row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2026-06-16T10:05:02Z</dcterms:created>
  <dcterms:modified xsi:type="dcterms:W3CDTF">2026-06-16T10:56:42Z</dcterms:modified>
</cp:coreProperties>
</file>